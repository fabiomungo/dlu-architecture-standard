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log Target" sheetId="1" state="visible" r:id="rId1"/>
    <sheet xmlns:r="http://schemas.openxmlformats.org/officeDocument/2006/relationships" name="Riepilogo Sprint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'Backlog Target'!$A$1:$N$106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6F4EA"/>
      </patternFill>
    </fill>
    <fill>
      <patternFill patternType="solid">
        <fgColor rgb="FFE6F4EA"/>
        <bgColor rgb="FFDDEBF7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6F4EA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12" min="1" max="1"/>
    <col width="10" customWidth="1" style="12" min="2" max="2"/>
    <col width="6" customWidth="1" style="12" min="3" max="3"/>
    <col width="7" customWidth="1" style="12" min="4" max="4"/>
    <col width="9" customWidth="1" style="12" min="5" max="6"/>
    <col width="30" customWidth="1" style="12" min="7" max="7"/>
    <col width="26" customWidth="1" style="12" min="8" max="8"/>
    <col width="52" customWidth="1" style="12" min="9" max="9"/>
    <col width="11" customWidth="1" style="12" min="10" max="10"/>
    <col width="20" customWidth="1" style="12" min="11" max="11"/>
    <col width="18" customWidth="1" style="12" min="12" max="12"/>
    <col width="14" customWidth="1" style="12" min="13" max="13"/>
    <col width="20" customWidth="1" style="12" min="14" max="14"/>
  </cols>
  <sheetData>
    <row r="1" ht="35.05" customHeight="1" s="13">
      <c r="A1" s="14" t="inlineStr">
        <is>
          <t>ID</t>
        </is>
      </c>
      <c r="B1" s="14" t="inlineStr">
        <is>
          <t>Sprint</t>
        </is>
      </c>
      <c r="C1" s="14" t="inlineStr">
        <is>
          <t>Wave</t>
        </is>
      </c>
      <c r="D1" s="14" t="inlineStr">
        <is>
          <t>Squad</t>
        </is>
      </c>
      <c r="E1" s="14" t="inlineStr">
        <is>
          <t>Sprint cal.</t>
        </is>
      </c>
      <c r="F1" s="14" t="inlineStr">
        <is>
          <t>Milestone</t>
        </is>
      </c>
      <c r="G1" s="14" t="inlineStr">
        <is>
          <t>Area</t>
        </is>
      </c>
      <c r="H1" s="14" t="inlineStr">
        <is>
          <t>Sottoarea</t>
        </is>
      </c>
      <c r="I1" s="14" t="inlineStr">
        <is>
          <t>Feature</t>
        </is>
      </c>
      <c r="J1" s="14" t="inlineStr">
        <is>
          <t>Tipo</t>
        </is>
      </c>
      <c r="K1" s="14" t="inlineStr">
        <is>
          <t>Persona</t>
        </is>
      </c>
      <c r="L1" s="14" t="inlineStr">
        <is>
          <t>Rif. ER/Book</t>
        </is>
      </c>
      <c r="M1" s="14" t="inlineStr">
        <is>
          <t>Stato avanzamento</t>
        </is>
      </c>
      <c r="N1" s="14" t="inlineStr">
        <is>
          <t>Note</t>
        </is>
      </c>
    </row>
    <row r="2" ht="23.85" customHeight="1" s="13">
      <c r="A2" s="15" t="inlineStr">
        <is>
          <t>BLG-001</t>
        </is>
      </c>
      <c r="B2" s="15" t="inlineStr">
        <is>
          <t>NEW-17a</t>
        </is>
      </c>
      <c r="C2" s="15" t="inlineStr">
        <is>
          <t>W1</t>
        </is>
      </c>
      <c r="D2" s="15" t="inlineStr">
        <is>
          <t>A</t>
        </is>
      </c>
      <c r="E2" s="15" t="inlineStr">
        <is>
          <t>S2</t>
        </is>
      </c>
      <c r="F2" s="15" t="inlineStr">
        <is>
          <t>M1</t>
        </is>
      </c>
      <c r="G2" s="16" t="inlineStr">
        <is>
          <t>19. Ammissioni &amp; Pre-Valutazione Titoli</t>
        </is>
      </c>
      <c r="H2" s="16" t="inlineStr">
        <is>
          <t>Pre-Valutazione Crediti (dettaglio)</t>
        </is>
      </c>
      <c r="I2" s="16" t="inlineStr">
        <is>
          <t>Wizard richiesta con checklist documenti dinamica per percorso (triennale/magistrale/estera/religiosa)</t>
        </is>
      </c>
      <c r="J2" s="16" t="inlineStr">
        <is>
          <t>Nuova</t>
        </is>
      </c>
      <c r="K2" s="16" t="inlineStr">
        <is>
          <t>Student</t>
        </is>
      </c>
      <c r="L2" s="16" t="inlineStr">
        <is>
          <t>PREVAL_SPEC §4</t>
        </is>
      </c>
      <c r="M2" s="16" t="inlineStr">
        <is>
          <t>Da fare</t>
        </is>
      </c>
      <c r="N2" s="16" t="n"/>
    </row>
    <row r="3" ht="23.85" customHeight="1" s="13">
      <c r="A3" s="15" t="inlineStr">
        <is>
          <t>BLG-002</t>
        </is>
      </c>
      <c r="B3" s="15" t="inlineStr">
        <is>
          <t>NEW-17a</t>
        </is>
      </c>
      <c r="C3" s="15" t="inlineStr">
        <is>
          <t>W1</t>
        </is>
      </c>
      <c r="D3" s="15" t="inlineStr">
        <is>
          <t>A</t>
        </is>
      </c>
      <c r="E3" s="15" t="inlineStr">
        <is>
          <t>S2</t>
        </is>
      </c>
      <c r="F3" s="15" t="inlineStr">
        <is>
          <t>M1</t>
        </is>
      </c>
      <c r="G3" s="16" t="inlineStr">
        <is>
          <t>19. Ammissioni &amp; Pre-Valutazione Titoli</t>
        </is>
      </c>
      <c r="H3" s="16" t="inlineStr">
        <is>
          <t>Pre-Valutazione Crediti (dettaglio)</t>
        </is>
      </c>
      <c r="I3" s="16" t="inlineStr">
        <is>
          <t>Coda revisione HITL per confidenza, vista side-by-side, override motivati per riga</t>
        </is>
      </c>
      <c r="J3" s="16" t="inlineStr">
        <is>
          <t>Nuova</t>
        </is>
      </c>
      <c r="K3" s="16" t="inlineStr">
        <is>
          <t>BackOffice</t>
        </is>
      </c>
      <c r="L3" s="16" t="inlineStr">
        <is>
          <t>PREVAL_SPEC A8</t>
        </is>
      </c>
      <c r="M3" s="16" t="inlineStr">
        <is>
          <t>Da fare</t>
        </is>
      </c>
      <c r="N3" s="16" t="n"/>
    </row>
    <row r="4" ht="23.85" customHeight="1" s="13">
      <c r="A4" s="15" t="inlineStr">
        <is>
          <t>BLG-003</t>
        </is>
      </c>
      <c r="B4" s="15" t="inlineStr">
        <is>
          <t>NEW-17a</t>
        </is>
      </c>
      <c r="C4" s="15" t="inlineStr">
        <is>
          <t>W1</t>
        </is>
      </c>
      <c r="D4" s="15" t="inlineStr">
        <is>
          <t>A</t>
        </is>
      </c>
      <c r="E4" s="15" t="inlineStr">
        <is>
          <t>S2</t>
        </is>
      </c>
      <c r="F4" s="15" t="inlineStr">
        <is>
          <t>M1</t>
        </is>
      </c>
      <c r="G4" s="16" t="inlineStr">
        <is>
          <t>19. Ammissioni &amp; Pre-Valutazione Titoli</t>
        </is>
      </c>
      <c r="H4" s="16" t="inlineStr">
        <is>
          <t>Pre-Valutazione Crediti (dettaglio)</t>
        </is>
      </c>
      <c r="I4" s="16" t="inlineStr">
        <is>
          <t>Scheda di pre-valutazione come oggetto dato: composizione, rendering PDF/Word, pubblicazione</t>
        </is>
      </c>
      <c r="J4" s="16" t="inlineStr">
        <is>
          <t>Nuova</t>
        </is>
      </c>
      <c r="K4" s="16" t="inlineStr">
        <is>
          <t>BackOffice</t>
        </is>
      </c>
      <c r="L4" s="16" t="inlineStr">
        <is>
          <t>PREVAL_SPEC A9</t>
        </is>
      </c>
      <c r="M4" s="16" t="inlineStr">
        <is>
          <t>Da fare</t>
        </is>
      </c>
      <c r="N4" s="16" t="n"/>
    </row>
    <row r="5" ht="23.85" customHeight="1" s="13">
      <c r="A5" s="15" t="inlineStr">
        <is>
          <t>BLG-004</t>
        </is>
      </c>
      <c r="B5" s="15" t="inlineStr">
        <is>
          <t>NEW-17a</t>
        </is>
      </c>
      <c r="C5" s="15" t="inlineStr">
        <is>
          <t>W1</t>
        </is>
      </c>
      <c r="D5" s="15" t="inlineStr">
        <is>
          <t>A</t>
        </is>
      </c>
      <c r="E5" s="15" t="inlineStr">
        <is>
          <t>S2</t>
        </is>
      </c>
      <c r="F5" s="15" t="inlineStr">
        <is>
          <t>M1</t>
        </is>
      </c>
      <c r="G5" s="16" t="inlineStr">
        <is>
          <t>19. Ammissioni &amp; Pre-Valutazione Titoli</t>
        </is>
      </c>
      <c r="H5" s="16" t="inlineStr">
        <is>
          <t>Pre-Valutazione Crediti (dettaglio)</t>
        </is>
      </c>
      <c r="I5" s="16" t="inlineStr">
        <is>
          <t>Accettazione e controfirma elettronica dello studente; immutabilità post-firma</t>
        </is>
      </c>
      <c r="J5" s="16" t="inlineStr">
        <is>
          <t>Nuova</t>
        </is>
      </c>
      <c r="K5" s="16" t="inlineStr">
        <is>
          <t>Student</t>
        </is>
      </c>
      <c r="L5" s="16" t="inlineStr">
        <is>
          <t>PREVAL_SPEC §3</t>
        </is>
      </c>
      <c r="M5" s="16" t="inlineStr">
        <is>
          <t>Da fare</t>
        </is>
      </c>
      <c r="N5" s="16" t="n"/>
    </row>
    <row r="6" ht="23.85" customHeight="1" s="13">
      <c r="A6" s="15" t="inlineStr">
        <is>
          <t>BLG-005</t>
        </is>
      </c>
      <c r="B6" s="15" t="inlineStr">
        <is>
          <t>NEW-17b</t>
        </is>
      </c>
      <c r="C6" s="15" t="inlineStr">
        <is>
          <t>W1</t>
        </is>
      </c>
      <c r="D6" s="15" t="inlineStr">
        <is>
          <t>B</t>
        </is>
      </c>
      <c r="E6" s="15" t="inlineStr">
        <is>
          <t>S2</t>
        </is>
      </c>
      <c r="F6" s="15" t="inlineStr">
        <is>
          <t>M1</t>
        </is>
      </c>
      <c r="G6" s="16" t="inlineStr">
        <is>
          <t>19. Ammissioni &amp; Pre-Valutazione Titoli</t>
        </is>
      </c>
      <c r="H6" s="16" t="inlineStr">
        <is>
          <t>Pre-Valutazione Crediti (dettaglio)</t>
        </is>
      </c>
      <c r="I6" s="16" t="inlineStr">
        <is>
          <t>Intake documenti: classificazione, OCR, gate di lavorabilità (identità, anagrafica, dedup/omonimie)</t>
        </is>
      </c>
      <c r="J6" s="16" t="inlineStr">
        <is>
          <t>Nuova</t>
        </is>
      </c>
      <c r="K6" s="16" t="inlineStr">
        <is>
          <t>Student / BackOffice</t>
        </is>
      </c>
      <c r="L6" s="16" t="inlineStr">
        <is>
          <t>PREVAL_SPEC A1</t>
        </is>
      </c>
      <c r="M6" s="16" t="inlineStr">
        <is>
          <t>Da fare</t>
        </is>
      </c>
      <c r="N6" s="16" t="n"/>
    </row>
    <row r="7" ht="23.85" customHeight="1" s="13">
      <c r="A7" s="15" t="inlineStr">
        <is>
          <t>BLG-006</t>
        </is>
      </c>
      <c r="B7" s="15" t="inlineStr">
        <is>
          <t>NEW-17b</t>
        </is>
      </c>
      <c r="C7" s="15" t="inlineStr">
        <is>
          <t>W1</t>
        </is>
      </c>
      <c r="D7" s="15" t="inlineStr">
        <is>
          <t>B</t>
        </is>
      </c>
      <c r="E7" s="15" t="inlineStr">
        <is>
          <t>S2</t>
        </is>
      </c>
      <c r="F7" s="15" t="inlineStr">
        <is>
          <t>M1</t>
        </is>
      </c>
      <c r="G7" s="16" t="inlineStr">
        <is>
          <t>19. Ammissioni &amp; Pre-Valutazione Titoli</t>
        </is>
      </c>
      <c r="H7" s="16" t="inlineStr">
        <is>
          <t>Pre-Valutazione Crediti (dettaglio)</t>
        </is>
      </c>
      <c r="I7" s="16" t="inlineStr">
        <is>
          <t>Parsing transcript: esami, SSD, CFU, voti; rilevazione ordinamento V.O./509/270</t>
        </is>
      </c>
      <c r="J7" s="16" t="inlineStr">
        <is>
          <t>Nuova</t>
        </is>
      </c>
      <c r="K7" s="16" t="inlineStr">
        <is>
          <t>BackOffice</t>
        </is>
      </c>
      <c r="L7" s="16" t="inlineStr">
        <is>
          <t>PREVAL_SPEC A2</t>
        </is>
      </c>
      <c r="M7" s="16" t="inlineStr">
        <is>
          <t>Da fare</t>
        </is>
      </c>
      <c r="N7" s="16" t="n"/>
    </row>
    <row r="8" ht="23.85" customHeight="1" s="13">
      <c r="A8" s="15" t="inlineStr">
        <is>
          <t>BLG-007</t>
        </is>
      </c>
      <c r="B8" s="15" t="inlineStr">
        <is>
          <t>NEW-17b</t>
        </is>
      </c>
      <c r="C8" s="15" t="inlineStr">
        <is>
          <t>W1</t>
        </is>
      </c>
      <c r="D8" s="15" t="inlineStr">
        <is>
          <t>B</t>
        </is>
      </c>
      <c r="E8" s="15" t="inlineStr">
        <is>
          <t>S2</t>
        </is>
      </c>
      <c r="F8" s="15" t="inlineStr">
        <is>
          <t>M1</t>
        </is>
      </c>
      <c r="G8" s="16" t="inlineStr">
        <is>
          <t>19. Ammissioni &amp; Pre-Valutazione Titoli</t>
        </is>
      </c>
      <c r="H8" s="16" t="inlineStr">
        <is>
          <t>Pre-Valutazione Crediti (dettaglio)</t>
        </is>
      </c>
      <c r="I8" s="16" t="inlineStr">
        <is>
          <t>SSD mapper: SSDiario digitale + crosswalk SSD vecchi→nuovi</t>
        </is>
      </c>
      <c r="J8" s="16" t="inlineStr">
        <is>
          <t>Nuova</t>
        </is>
      </c>
      <c r="K8" s="16" t="inlineStr">
        <is>
          <t>BackOffice</t>
        </is>
      </c>
      <c r="L8" s="16" t="inlineStr">
        <is>
          <t>PREVAL_SPEC A5</t>
        </is>
      </c>
      <c r="M8" s="16" t="inlineStr">
        <is>
          <t>Da fare</t>
        </is>
      </c>
      <c r="N8" s="16" t="n"/>
    </row>
    <row r="9" ht="23.85" customHeight="1" s="13">
      <c r="A9" s="15" t="inlineStr">
        <is>
          <t>BLG-008</t>
        </is>
      </c>
      <c r="B9" s="15" t="inlineStr">
        <is>
          <t>NEW-17b</t>
        </is>
      </c>
      <c r="C9" s="15" t="inlineStr">
        <is>
          <t>W1</t>
        </is>
      </c>
      <c r="D9" s="15" t="inlineStr">
        <is>
          <t>B</t>
        </is>
      </c>
      <c r="E9" s="15" t="inlineStr">
        <is>
          <t>S2</t>
        </is>
      </c>
      <c r="F9" s="15" t="inlineStr">
        <is>
          <t>M1</t>
        </is>
      </c>
      <c r="G9" s="16" t="inlineStr">
        <is>
          <t>19. Ammissioni &amp; Pre-Valutazione Titoli</t>
        </is>
      </c>
      <c r="H9" s="16" t="inlineStr">
        <is>
          <t>Pre-Valutazione Crediti (dettaglio)</t>
        </is>
      </c>
      <c r="I9" s="16" t="inlineStr">
        <is>
          <t>Motore di matching SSD→griglia (precedenze, integrazioni, esuberi, seminario, tirocinio) e calcolo CFU/anno/OFA</t>
        </is>
      </c>
      <c r="J9" s="16" t="inlineStr">
        <is>
          <t>Nuova</t>
        </is>
      </c>
      <c r="K9" s="16" t="inlineStr">
        <is>
          <t>BackOffice</t>
        </is>
      </c>
      <c r="L9" s="16" t="inlineStr">
        <is>
          <t>PREVAL_SPEC A6</t>
        </is>
      </c>
      <c r="M9" s="16" t="inlineStr">
        <is>
          <t>Da fare</t>
        </is>
      </c>
      <c r="N9" s="16" t="n"/>
    </row>
    <row r="10" ht="23.85" customHeight="1" s="13">
      <c r="A10" s="15" t="inlineStr">
        <is>
          <t>BLG-009</t>
        </is>
      </c>
      <c r="B10" s="15" t="inlineStr">
        <is>
          <t>NEW-19</t>
        </is>
      </c>
      <c r="C10" s="15" t="inlineStr">
        <is>
          <t>W1</t>
        </is>
      </c>
      <c r="D10" s="15" t="inlineStr">
        <is>
          <t>A</t>
        </is>
      </c>
      <c r="E10" s="15" t="inlineStr">
        <is>
          <t>S3</t>
        </is>
      </c>
      <c r="F10" s="15" t="inlineStr">
        <is>
          <t>M1</t>
        </is>
      </c>
      <c r="G10" s="16" t="inlineStr">
        <is>
          <t>19. Ammissioni &amp; Pre-Valutazione Titoli</t>
        </is>
      </c>
      <c r="H10" s="16" t="inlineStr">
        <is>
          <t>Immatricolazione</t>
        </is>
      </c>
      <c r="I10" s="16" t="inlineStr">
        <is>
          <t>Evento ApplicantMatriculated: creazione utente, fascicolo, prima fattura</t>
        </is>
      </c>
      <c r="J10" s="16" t="inlineStr">
        <is>
          <t>Nuova</t>
        </is>
      </c>
      <c r="K10" s="16" t="inlineStr">
        <is>
          <t>BackOffice</t>
        </is>
      </c>
      <c r="L10" s="16" t="inlineStr">
        <is>
          <t>T1/T7/T8</t>
        </is>
      </c>
      <c r="M10" s="16" t="inlineStr">
        <is>
          <t>In corso</t>
        </is>
      </c>
      <c r="N10" s="16" t="inlineStr">
        <is>
          <t>Fascicolo + fatture native (T7/T8) esistono ed emissione fattura funziona manualmente (staff); l'evento ApplicantMatriculated stesso NON esiste ancora (prerequisito SPRINT-06) — creazione automatica utente/fascicolo/prima fattura resta da cablare quando quell'evento esisterà.</t>
        </is>
      </c>
    </row>
    <row r="11" ht="23.85" customHeight="1" s="13">
      <c r="A11" s="15" t="inlineStr">
        <is>
          <t>BLG-010</t>
        </is>
      </c>
      <c r="B11" s="15" t="inlineStr">
        <is>
          <t>NEW-19</t>
        </is>
      </c>
      <c r="C11" s="15" t="inlineStr">
        <is>
          <t>W1</t>
        </is>
      </c>
      <c r="D11" s="15" t="inlineStr">
        <is>
          <t>A</t>
        </is>
      </c>
      <c r="E11" s="15" t="inlineStr">
        <is>
          <t>S3</t>
        </is>
      </c>
      <c r="F11" s="15" t="inlineStr">
        <is>
          <t>M1</t>
        </is>
      </c>
      <c r="G11" s="16" t="inlineStr">
        <is>
          <t>19. Ammissioni &amp; Pre-Valutazione Titoli</t>
        </is>
      </c>
      <c r="H11" s="16" t="inlineStr">
        <is>
          <t>Immatricolazione</t>
        </is>
      </c>
      <c r="I11" s="16" t="inlineStr">
        <is>
          <t>Verifica identità in immatricolazione (G13)</t>
        </is>
      </c>
      <c r="J11" s="16" t="inlineStr">
        <is>
          <t>Estensione</t>
        </is>
      </c>
      <c r="K11" s="16" t="inlineStr">
        <is>
          <t>BackOffice</t>
        </is>
      </c>
      <c r="L11" s="16" t="inlineStr">
        <is>
          <t>T8</t>
        </is>
      </c>
      <c r="M11" s="16" t="inlineStr">
        <is>
          <t>Fatto</t>
        </is>
      </c>
      <c r="N11" s="16" t="inlineStr">
        <is>
          <t>resolve_matriculation_checklist (student_dossier_service.py). Onestamente scoperto ai soli 2 segnali reali: policy configurata + disclosure-ack studente alla versione corrente — nessun evento di verifica-identità-riuscita esiste in questo codebase.</t>
        </is>
      </c>
    </row>
    <row r="12" ht="23.85" customHeight="1" s="13">
      <c r="A12" s="15" t="inlineStr">
        <is>
          <t>BLG-011</t>
        </is>
      </c>
      <c r="B12" s="15" t="inlineStr">
        <is>
          <t>NEW-19</t>
        </is>
      </c>
      <c r="C12" s="15" t="inlineStr">
        <is>
          <t>W1</t>
        </is>
      </c>
      <c r="D12" s="15" t="inlineStr">
        <is>
          <t>A</t>
        </is>
      </c>
      <c r="E12" s="15" t="inlineStr">
        <is>
          <t>S3</t>
        </is>
      </c>
      <c r="F12" s="15" t="inlineStr">
        <is>
          <t>M1</t>
        </is>
      </c>
      <c r="G12" s="16" t="inlineStr">
        <is>
          <t>22. Finanza &amp; Amministrazione Nativa</t>
        </is>
      </c>
      <c r="H12" s="16" t="inlineStr">
        <is>
          <t>Ciclo Attivo (Studenti)</t>
        </is>
      </c>
      <c r="I12" s="16" t="inlineStr">
        <is>
          <t>Fatture studente native: emissione, righe, scadenze</t>
        </is>
      </c>
      <c r="J12" s="16" t="inlineStr">
        <is>
          <t>Nuova</t>
        </is>
      </c>
      <c r="K12" s="16" t="inlineStr">
        <is>
          <t>BackOffice / CFO</t>
        </is>
      </c>
      <c r="L12" s="16" t="inlineStr">
        <is>
          <t>T7 · BOOK-23</t>
        </is>
      </c>
      <c r="M12" s="16" t="inlineStr">
        <is>
          <t>Fatto</t>
        </is>
      </c>
      <c r="N12" s="16" t="inlineStr">
        <is>
          <t>student_invoices/invoice_lines + finance_service.py (create/issue/mark_overdue), backend/api/routes/invoices.py. C23.1 verificato (property test, Postgres reale).</t>
        </is>
      </c>
    </row>
    <row r="13" ht="23.85" customHeight="1" s="13">
      <c r="A13" s="15" t="inlineStr">
        <is>
          <t>BLG-012</t>
        </is>
      </c>
      <c r="B13" s="15" t="inlineStr">
        <is>
          <t>NEW-19</t>
        </is>
      </c>
      <c r="C13" s="15" t="inlineStr">
        <is>
          <t>W1</t>
        </is>
      </c>
      <c r="D13" s="15" t="inlineStr">
        <is>
          <t>A</t>
        </is>
      </c>
      <c r="E13" s="15" t="inlineStr">
        <is>
          <t>S3</t>
        </is>
      </c>
      <c r="F13" s="15" t="inlineStr">
        <is>
          <t>M1</t>
        </is>
      </c>
      <c r="G13" s="16" t="inlineStr">
        <is>
          <t>22. Finanza &amp; Amministrazione Nativa</t>
        </is>
      </c>
      <c r="H13" s="16" t="inlineStr">
        <is>
          <t>Ciclo Attivo (Studenti)</t>
        </is>
      </c>
      <c r="I13" s="16" t="inlineStr">
        <is>
          <t>Riconciliazione pagamenti PagoPA / ERP</t>
        </is>
      </c>
      <c r="J13" s="16" t="inlineStr">
        <is>
          <t>Estensione</t>
        </is>
      </c>
      <c r="K13" s="16" t="inlineStr">
        <is>
          <t>BackOffice</t>
        </is>
      </c>
      <c r="L13" s="16" t="inlineStr">
        <is>
          <t>T7 · pagopa_*</t>
        </is>
      </c>
      <c r="M13" s="16" t="inlineStr">
        <is>
          <t>Fatto</t>
        </is>
      </c>
      <c r="N13" s="16" t="inlineStr">
        <is>
          <t>payment_reconciliations, finance_service.reconcile_payment (source: pagopa/frappe/manual, idempotente su (source, source_reference)).</t>
        </is>
      </c>
    </row>
    <row r="14" ht="23.85" customHeight="1" s="13">
      <c r="A14" s="15" t="inlineStr">
        <is>
          <t>BLG-013</t>
        </is>
      </c>
      <c r="B14" s="15" t="inlineStr">
        <is>
          <t>NEW-19</t>
        </is>
      </c>
      <c r="C14" s="15" t="inlineStr">
        <is>
          <t>W1</t>
        </is>
      </c>
      <c r="D14" s="15" t="inlineStr">
        <is>
          <t>A</t>
        </is>
      </c>
      <c r="E14" s="15" t="inlineStr">
        <is>
          <t>S3</t>
        </is>
      </c>
      <c r="F14" s="15" t="inlineStr">
        <is>
          <t>M1</t>
        </is>
      </c>
      <c r="G14" s="16" t="inlineStr">
        <is>
          <t>22. Finanza &amp; Amministrazione Nativa</t>
        </is>
      </c>
      <c r="H14" s="16" t="inlineStr">
        <is>
          <t>Ciclo Attivo (Studenti)</t>
        </is>
      </c>
      <c r="I14" s="16" t="inlineStr">
        <is>
          <t>Blocchi amministrativi per morosità con effetto su carriera</t>
        </is>
      </c>
      <c r="J14" s="16" t="inlineStr">
        <is>
          <t>Estensione</t>
        </is>
      </c>
      <c r="K14" s="16" t="inlineStr">
        <is>
          <t>BackOffice</t>
        </is>
      </c>
      <c r="L14" s="16" t="inlineStr">
        <is>
          <t>T7</t>
        </is>
      </c>
      <c r="M14" s="16" t="inlineStr">
        <is>
          <t>Fatto</t>
        </is>
      </c>
      <c r="N14" s="16" t="inlineStr">
        <is>
          <t>administrative_holds unifica 3 concetti di hold incompatibili (native/stripe/frappe_sync); blocco iscrizione sessione d'esame cablato e verificato (C23.3, stesso boundary transazionale). Gap onesto residuo: blocco credenziali (check_credentials_allowed) non ha ancora un chiamante; trigger automatico overdue→hold non ancora cablato (solo manuale/futuro sweep); GPS non legge ancora administrative_holds come vincolo di percorso.</t>
        </is>
      </c>
    </row>
    <row r="15" ht="23.85" customHeight="1" s="13">
      <c r="A15" s="15" t="inlineStr">
        <is>
          <t>BLG-014</t>
        </is>
      </c>
      <c r="B15" s="15" t="inlineStr">
        <is>
          <t>NEW-19</t>
        </is>
      </c>
      <c r="C15" s="15" t="inlineStr">
        <is>
          <t>W1</t>
        </is>
      </c>
      <c r="D15" s="15" t="inlineStr">
        <is>
          <t>A</t>
        </is>
      </c>
      <c r="E15" s="15" t="inlineStr">
        <is>
          <t>S3</t>
        </is>
      </c>
      <c r="F15" s="15" t="inlineStr">
        <is>
          <t>M1</t>
        </is>
      </c>
      <c r="G15" s="16" t="inlineStr">
        <is>
          <t>22. Finanza &amp; Amministrazione Nativa</t>
        </is>
      </c>
      <c r="H15" s="16" t="inlineStr">
        <is>
          <t>Fascicolo Studente</t>
        </is>
      </c>
      <c r="I15" s="16" t="inlineStr">
        <is>
          <t>Fascicolo amministrativo unico per studente</t>
        </is>
      </c>
      <c r="J15" s="16" t="inlineStr">
        <is>
          <t>Nuova</t>
        </is>
      </c>
      <c r="K15" s="16" t="inlineStr">
        <is>
          <t>BackOffice</t>
        </is>
      </c>
      <c r="L15" s="16" t="inlineStr">
        <is>
          <t>T8 · BOOK-23</t>
        </is>
      </c>
      <c r="M15" s="16" t="inlineStr">
        <is>
          <t>Fatto</t>
        </is>
      </c>
      <c r="N15" s="16" t="inlineStr">
        <is>
          <t>student_dossiers (1 per twin, UNIQUE), student_dossier_service.get_or_create_dossier.</t>
        </is>
      </c>
    </row>
    <row r="16" ht="23.85" customHeight="1" s="13">
      <c r="A16" s="15" t="inlineStr">
        <is>
          <t>BLG-015</t>
        </is>
      </c>
      <c r="B16" s="15" t="inlineStr">
        <is>
          <t>NEW-19</t>
        </is>
      </c>
      <c r="C16" s="15" t="inlineStr">
        <is>
          <t>W1</t>
        </is>
      </c>
      <c r="D16" s="15" t="inlineStr">
        <is>
          <t>A</t>
        </is>
      </c>
      <c r="E16" s="15" t="inlineStr">
        <is>
          <t>S3</t>
        </is>
      </c>
      <c r="F16" s="15" t="inlineStr">
        <is>
          <t>M1</t>
        </is>
      </c>
      <c r="G16" s="16" t="inlineStr">
        <is>
          <t>22. Finanza &amp; Amministrazione Nativa</t>
        </is>
      </c>
      <c r="H16" s="16" t="inlineStr">
        <is>
          <t>Fascicolo Studente</t>
        </is>
      </c>
      <c r="I16" s="16" t="inlineStr">
        <is>
          <t>Checklist immatricolazione e documenti</t>
        </is>
      </c>
      <c r="J16" s="16" t="inlineStr">
        <is>
          <t>Nuova</t>
        </is>
      </c>
      <c r="K16" s="16" t="inlineStr">
        <is>
          <t>BackOffice</t>
        </is>
      </c>
      <c r="L16" s="16" t="inlineStr">
        <is>
          <t>T8</t>
        </is>
      </c>
      <c r="M16" s="16" t="inlineStr">
        <is>
          <t>Fatto</t>
        </is>
      </c>
      <c r="N16" s="16" t="inlineStr">
        <is>
          <t>matriculation_checklists (1 riga per voce) + dossier_documents, risolta LIVE da resolve_matriculation_checklist (mai materializzata), stessa disciplina di clearance_service.resolve_clearance_checklist.</t>
        </is>
      </c>
    </row>
    <row r="17" ht="23.85" customHeight="1" s="13">
      <c r="A17" s="15" t="inlineStr">
        <is>
          <t>BLG-016</t>
        </is>
      </c>
      <c r="B17" s="15" t="inlineStr">
        <is>
          <t>NEW-17c</t>
        </is>
      </c>
      <c r="C17" s="15" t="inlineStr">
        <is>
          <t>W1</t>
        </is>
      </c>
      <c r="D17" s="15" t="inlineStr">
        <is>
          <t>B</t>
        </is>
      </c>
      <c r="E17" s="15" t="inlineStr">
        <is>
          <t>S3</t>
        </is>
      </c>
      <c r="F17" s="15" t="inlineStr">
        <is>
          <t>M1</t>
        </is>
      </c>
      <c r="G17" s="16" t="inlineStr">
        <is>
          <t>19. Ammissioni &amp; Pre-Valutazione Titoli</t>
        </is>
      </c>
      <c r="H17" s="16" t="inlineStr">
        <is>
          <t>Orientamento</t>
        </is>
      </c>
      <c r="I17" s="16" t="inlineStr">
        <is>
          <t>Preview crediti riconoscibili (aggancio pre-valutazione crediti G16)</t>
        </is>
      </c>
      <c r="J17" s="16" t="inlineStr">
        <is>
          <t>Estensione</t>
        </is>
      </c>
      <c r="K17" s="16" t="inlineStr">
        <is>
          <t>Student</t>
        </is>
      </c>
      <c r="L17" s="16" t="inlineStr">
        <is>
          <t>T1 · BOOK-14A</t>
        </is>
      </c>
      <c r="M17" s="16" t="inlineStr">
        <is>
          <t>Da fare</t>
        </is>
      </c>
      <c r="N17" s="16" t="n"/>
    </row>
    <row r="18" ht="23.85" customHeight="1" s="13">
      <c r="A18" s="15" t="inlineStr">
        <is>
          <t>BLG-017</t>
        </is>
      </c>
      <c r="B18" s="15" t="inlineStr">
        <is>
          <t>NEW-17c</t>
        </is>
      </c>
      <c r="C18" s="15" t="inlineStr">
        <is>
          <t>W1</t>
        </is>
      </c>
      <c r="D18" s="15" t="inlineStr">
        <is>
          <t>B</t>
        </is>
      </c>
      <c r="E18" s="15" t="inlineStr">
        <is>
          <t>S3</t>
        </is>
      </c>
      <c r="F18" s="15" t="inlineStr">
        <is>
          <t>M1</t>
        </is>
      </c>
      <c r="G18" s="16" t="inlineStr">
        <is>
          <t>19. Ammissioni &amp; Pre-Valutazione Titoli</t>
        </is>
      </c>
      <c r="H18" s="16" t="inlineStr">
        <is>
          <t>Pre-Valutazione Crediti (dettaglio)</t>
        </is>
      </c>
      <c r="I18" s="16" t="inlineStr">
        <is>
          <t>Validazione carriera di provenienza (CINECA/AFAM, pontificie, estere DoV/CIMEA/ARDI, SSML convenzionate)</t>
        </is>
      </c>
      <c r="J18" s="16" t="inlineStr">
        <is>
          <t>Nuova</t>
        </is>
      </c>
      <c r="K18" s="16" t="inlineStr">
        <is>
          <t>BackOffice</t>
        </is>
      </c>
      <c r="L18" s="16" t="inlineStr">
        <is>
          <t>PREVAL_SPEC A3</t>
        </is>
      </c>
      <c r="M18" s="16" t="inlineStr">
        <is>
          <t>Da fare</t>
        </is>
      </c>
      <c r="N18" s="16" t="n"/>
    </row>
    <row r="19" ht="23.85" customHeight="1" s="13">
      <c r="A19" s="15" t="inlineStr">
        <is>
          <t>BLG-018</t>
        </is>
      </c>
      <c r="B19" s="15" t="inlineStr">
        <is>
          <t>NEW-17c</t>
        </is>
      </c>
      <c r="C19" s="15" t="inlineStr">
        <is>
          <t>W1</t>
        </is>
      </c>
      <c r="D19" s="15" t="inlineStr">
        <is>
          <t>B</t>
        </is>
      </c>
      <c r="E19" s="15" t="inlineStr">
        <is>
          <t>S3</t>
        </is>
      </c>
      <c r="F19" s="15" t="inlineStr">
        <is>
          <t>M1</t>
        </is>
      </c>
      <c r="G19" s="16" t="inlineStr">
        <is>
          <t>19. Ammissioni &amp; Pre-Valutazione Titoli</t>
        </is>
      </c>
      <c r="H19" s="16" t="inlineStr">
        <is>
          <t>Pre-Valutazione Crediti (dettaglio)</t>
        </is>
      </c>
      <c r="I19" s="16" t="inlineStr">
        <is>
          <t>Registro certificazioni informatiche/linguistiche valide e non valide</t>
        </is>
      </c>
      <c r="J19" s="16" t="inlineStr">
        <is>
          <t>Nuova</t>
        </is>
      </c>
      <c r="K19" s="16" t="inlineStr">
        <is>
          <t>BackOffice / Dean</t>
        </is>
      </c>
      <c r="L19" s="16" t="inlineStr">
        <is>
          <t>PREVAL_SPEC A4</t>
        </is>
      </c>
      <c r="M19" s="16" t="inlineStr">
        <is>
          <t>Da fare</t>
        </is>
      </c>
      <c r="N19" s="16" t="n"/>
    </row>
    <row r="20" ht="23.85" customHeight="1" s="13">
      <c r="A20" s="15" t="inlineStr">
        <is>
          <t>BLG-019</t>
        </is>
      </c>
      <c r="B20" s="15" t="inlineStr">
        <is>
          <t>NEW-17c</t>
        </is>
      </c>
      <c r="C20" s="15" t="inlineStr">
        <is>
          <t>W1</t>
        </is>
      </c>
      <c r="D20" s="15" t="inlineStr">
        <is>
          <t>B</t>
        </is>
      </c>
      <c r="E20" s="15" t="inlineStr">
        <is>
          <t>S3</t>
        </is>
      </c>
      <c r="F20" s="15" t="inlineStr">
        <is>
          <t>M1</t>
        </is>
      </c>
      <c r="G20" s="16" t="inlineStr">
        <is>
          <t>19. Ammissioni &amp; Pre-Valutazione Titoli</t>
        </is>
      </c>
      <c r="H20" s="16" t="inlineStr">
        <is>
          <t>Pre-Valutazione Crediti (dettaglio)</t>
        </is>
      </c>
      <c r="I20" s="16" t="inlineStr">
        <is>
          <t>Griglie CDS digitalizzate con rule pack di deroghe versionati per a.a.</t>
        </is>
      </c>
      <c r="J20" s="16" t="inlineStr">
        <is>
          <t>Nuova</t>
        </is>
      </c>
      <c r="K20" s="16" t="inlineStr">
        <is>
          <t>Dean</t>
        </is>
      </c>
      <c r="L20" s="16" t="inlineStr">
        <is>
          <t>PREVAL_SPEC A6</t>
        </is>
      </c>
      <c r="M20" s="16" t="inlineStr">
        <is>
          <t>Da fare</t>
        </is>
      </c>
      <c r="N20" s="16" t="n"/>
    </row>
    <row r="21" ht="23.85" customHeight="1" s="13">
      <c r="A21" s="15" t="inlineStr">
        <is>
          <t>BLG-020</t>
        </is>
      </c>
      <c r="B21" s="15" t="inlineStr">
        <is>
          <t>NEW-17c</t>
        </is>
      </c>
      <c r="C21" s="15" t="inlineStr">
        <is>
          <t>W1</t>
        </is>
      </c>
      <c r="D21" s="15" t="inlineStr">
        <is>
          <t>B</t>
        </is>
      </c>
      <c r="E21" s="15" t="inlineStr">
        <is>
          <t>S3</t>
        </is>
      </c>
      <c r="F21" s="15" t="inlineStr">
        <is>
          <t>M1</t>
        </is>
      </c>
      <c r="G21" s="16" t="inlineStr">
        <is>
          <t>19. Ammissioni &amp; Pre-Valutazione Titoli</t>
        </is>
      </c>
      <c r="H21" s="16" t="inlineStr">
        <is>
          <t>Pre-Valutazione Crediti (dettaglio)</t>
        </is>
      </c>
      <c r="I21" s="16" t="inlineStr">
        <is>
          <t>VRA automatico per magistrali (4 esiti, crosswalk classi 509↔270)</t>
        </is>
      </c>
      <c r="J21" s="16" t="inlineStr">
        <is>
          <t>Nuova</t>
        </is>
      </c>
      <c r="K21" s="16" t="inlineStr">
        <is>
          <t>BackOffice</t>
        </is>
      </c>
      <c r="L21" s="16" t="inlineStr">
        <is>
          <t>PREVAL_SPEC A7</t>
        </is>
      </c>
      <c r="M21" s="16" t="inlineStr">
        <is>
          <t>Da fare</t>
        </is>
      </c>
      <c r="N21" s="16" t="n"/>
    </row>
    <row r="22" ht="23.85" customHeight="1" s="13">
      <c r="A22" s="15" t="inlineStr">
        <is>
          <t>BLG-021</t>
        </is>
      </c>
      <c r="B22" s="15" t="inlineStr">
        <is>
          <t>NEW-17c</t>
        </is>
      </c>
      <c r="C22" s="15" t="inlineStr">
        <is>
          <t>W1</t>
        </is>
      </c>
      <c r="D22" s="15" t="inlineStr">
        <is>
          <t>B</t>
        </is>
      </c>
      <c r="E22" s="15" t="inlineStr">
        <is>
          <t>S3</t>
        </is>
      </c>
      <c r="F22" s="15" t="inlineStr">
        <is>
          <t>M1</t>
        </is>
      </c>
      <c r="G22" s="16" t="inlineStr">
        <is>
          <t>19. Ammissioni &amp; Pre-Valutazione Titoli</t>
        </is>
      </c>
      <c r="H22" s="16" t="inlineStr">
        <is>
          <t>Pre-Valutazione Crediti (dettaglio)</t>
        </is>
      </c>
      <c r="I22" s="16" t="inlineStr">
        <is>
          <t>Stima immediata allo studente con banda di confidenza e what-if multi-CDS</t>
        </is>
      </c>
      <c r="J22" s="16" t="inlineStr">
        <is>
          <t>Nuova</t>
        </is>
      </c>
      <c r="K22" s="16" t="inlineStr">
        <is>
          <t>Student</t>
        </is>
      </c>
      <c r="L22" s="16" t="inlineStr">
        <is>
          <t>PREVAL_SPEC §4</t>
        </is>
      </c>
      <c r="M22" s="16" t="inlineStr">
        <is>
          <t>Da fare</t>
        </is>
      </c>
      <c r="N22" s="16" t="n"/>
    </row>
    <row r="23" ht="23.85" customHeight="1" s="13">
      <c r="A23" s="15" t="inlineStr">
        <is>
          <t>BLG-022</t>
        </is>
      </c>
      <c r="B23" s="15" t="inlineStr">
        <is>
          <t>NEW-18</t>
        </is>
      </c>
      <c r="C23" s="15" t="inlineStr">
        <is>
          <t>W1</t>
        </is>
      </c>
      <c r="D23" s="15" t="inlineStr">
        <is>
          <t>A</t>
        </is>
      </c>
      <c r="E23" s="15" t="inlineStr">
        <is>
          <t>S4-S5</t>
        </is>
      </c>
      <c r="F23" s="15" t="inlineStr">
        <is>
          <t>M1</t>
        </is>
      </c>
      <c r="G23" s="16" t="inlineStr">
        <is>
          <t>19. Ammissioni &amp; Pre-Valutazione Titoli</t>
        </is>
      </c>
      <c r="H23" s="16" t="inlineStr">
        <is>
          <t>Funnel di Ammissione</t>
        </is>
      </c>
      <c r="I23" s="16" t="inlineStr">
        <is>
          <t>Finestre di ammissione (intake) con requisiti per programma</t>
        </is>
      </c>
      <c r="J23" s="16" t="inlineStr">
        <is>
          <t>Nuova</t>
        </is>
      </c>
      <c r="K23" s="16" t="inlineStr">
        <is>
          <t>BackOffice / Dean</t>
        </is>
      </c>
      <c r="L23" s="16" t="inlineStr">
        <is>
          <t>T1 · BOOK-21</t>
        </is>
      </c>
      <c r="M23" s="16" t="inlineStr">
        <is>
          <t>Fatto</t>
        </is>
      </c>
      <c r="N23" s="16" t="inlineStr">
        <is>
          <t>admission_intakes + admission_requirements (admission_service.py). Requisiti versionati per intake, immutabili dopo l'apertura (BOOK-21 §3, enforced a livello servizio).</t>
        </is>
      </c>
    </row>
    <row r="24" ht="23.85" customHeight="1" s="13">
      <c r="A24" s="15" t="inlineStr">
        <is>
          <t>BLG-023</t>
        </is>
      </c>
      <c r="B24" s="15" t="inlineStr">
        <is>
          <t>NEW-18</t>
        </is>
      </c>
      <c r="C24" s="15" t="inlineStr">
        <is>
          <t>W1</t>
        </is>
      </c>
      <c r="D24" s="15" t="inlineStr">
        <is>
          <t>A</t>
        </is>
      </c>
      <c r="E24" s="15" t="inlineStr">
        <is>
          <t>S4-S5</t>
        </is>
      </c>
      <c r="F24" s="15" t="inlineStr">
        <is>
          <t>M1</t>
        </is>
      </c>
      <c r="G24" s="16" t="inlineStr">
        <is>
          <t>19. Ammissioni &amp; Pre-Valutazione Titoli</t>
        </is>
      </c>
      <c r="H24" s="16" t="inlineStr">
        <is>
          <t>Funnel di Ammissione</t>
        </is>
      </c>
      <c r="I24" s="16" t="inlineStr">
        <is>
          <t>Domanda di ammissione (application) con stato e documenti</t>
        </is>
      </c>
      <c r="J24" s="16" t="inlineStr">
        <is>
          <t>Nuova</t>
        </is>
      </c>
      <c r="K24" s="16" t="inlineStr">
        <is>
          <t>Student</t>
        </is>
      </c>
      <c r="L24" s="16" t="inlineStr">
        <is>
          <t>T1 · BOOK-21</t>
        </is>
      </c>
      <c r="M24" s="16" t="inlineStr">
        <is>
          <t>Fatto</t>
        </is>
      </c>
      <c r="N24" s="16" t="inlineStr">
        <is>
          <t>admission_applications, state machine a 11 stati (BOOK-21 §4) + qualification_documents per i documenti allegati.</t>
        </is>
      </c>
    </row>
    <row r="25" ht="23.85" customHeight="1" s="13">
      <c r="A25" s="15" t="inlineStr">
        <is>
          <t>BLG-024</t>
        </is>
      </c>
      <c r="B25" s="15" t="inlineStr">
        <is>
          <t>NEW-18</t>
        </is>
      </c>
      <c r="C25" s="15" t="inlineStr">
        <is>
          <t>W1</t>
        </is>
      </c>
      <c r="D25" s="15" t="inlineStr">
        <is>
          <t>A</t>
        </is>
      </c>
      <c r="E25" s="15" t="inlineStr">
        <is>
          <t>S4-S5</t>
        </is>
      </c>
      <c r="F25" s="15" t="inlineStr">
        <is>
          <t>M1</t>
        </is>
      </c>
      <c r="G25" s="16" t="inlineStr">
        <is>
          <t>19. Ammissioni &amp; Pre-Valutazione Titoli</t>
        </is>
      </c>
      <c r="H25" s="16" t="inlineStr">
        <is>
          <t>Funnel di Ammissione</t>
        </is>
      </c>
      <c r="I25" s="16" t="inlineStr">
        <is>
          <t>Conversione lead CRM → application</t>
        </is>
      </c>
      <c r="J25" s="16" t="inlineStr">
        <is>
          <t>Nuova</t>
        </is>
      </c>
      <c r="K25" s="16" t="inlineStr">
        <is>
          <t>MKO / BackOffice</t>
        </is>
      </c>
      <c r="L25" s="16" t="inlineStr">
        <is>
          <t>T1 · crm_*</t>
        </is>
      </c>
      <c r="M25" s="16" t="inlineStr">
        <is>
          <t>Fatto</t>
        </is>
      </c>
      <c r="N25" s="16" t="inlineStr">
        <is>
          <t>lead_conversion_service.convert_crm_lead_to_application legge CRMLeadMapping direttamente (non tramite crm.py, mai montato). Gap onesto: nessun campo nome/email reale raggiungibile da CRMLeadMapping — applicant_data popolato solo con campi reali (lead_score, sync_status), mai inventato.</t>
        </is>
      </c>
    </row>
    <row r="26" ht="23.85" customHeight="1" s="13">
      <c r="A26" s="15" t="inlineStr">
        <is>
          <t>BLG-025</t>
        </is>
      </c>
      <c r="B26" s="15" t="inlineStr">
        <is>
          <t>NEW-18</t>
        </is>
      </c>
      <c r="C26" s="15" t="inlineStr">
        <is>
          <t>W1</t>
        </is>
      </c>
      <c r="D26" s="15" t="inlineStr">
        <is>
          <t>A</t>
        </is>
      </c>
      <c r="E26" s="15" t="inlineStr">
        <is>
          <t>S4-S5</t>
        </is>
      </c>
      <c r="F26" s="15" t="inlineStr">
        <is>
          <t>M1</t>
        </is>
      </c>
      <c r="G26" s="16" t="inlineStr">
        <is>
          <t>19. Ammissioni &amp; Pre-Valutazione Titoli</t>
        </is>
      </c>
      <c r="H26" s="16" t="inlineStr">
        <is>
          <t>Funnel di Ammissione</t>
        </is>
      </c>
      <c r="I26" s="16" t="inlineStr">
        <is>
          <t>Offerta di ammissione, accettazione, scadenze</t>
        </is>
      </c>
      <c r="J26" s="16" t="inlineStr">
        <is>
          <t>Nuova</t>
        </is>
      </c>
      <c r="K26" s="16" t="inlineStr">
        <is>
          <t>BackOffice</t>
        </is>
      </c>
      <c r="L26" s="16" t="inlineStr">
        <is>
          <t>T1</t>
        </is>
      </c>
      <c r="M26" s="16" t="inlineStr">
        <is>
          <t>Fatto</t>
        </is>
      </c>
      <c r="N26" s="16" t="inlineStr">
        <is>
          <t>issue_offer (C21.2: richiede verdetto eligible/conditional) + accept_offer/decline_offer/expire_offer, admission_service.py.</t>
        </is>
      </c>
    </row>
    <row r="27" ht="23.85" customHeight="1" s="13">
      <c r="A27" s="15" t="inlineStr">
        <is>
          <t>BLG-026</t>
        </is>
      </c>
      <c r="B27" s="15" t="inlineStr">
        <is>
          <t>NEW-18</t>
        </is>
      </c>
      <c r="C27" s="15" t="inlineStr">
        <is>
          <t>W1</t>
        </is>
      </c>
      <c r="D27" s="15" t="inlineStr">
        <is>
          <t>A</t>
        </is>
      </c>
      <c r="E27" s="15" t="inlineStr">
        <is>
          <t>S4-S5</t>
        </is>
      </c>
      <c r="F27" s="15" t="inlineStr">
        <is>
          <t>M1</t>
        </is>
      </c>
      <c r="G27" s="16" t="inlineStr">
        <is>
          <t>19. Ammissioni &amp; Pre-Valutazione Titoli</t>
        </is>
      </c>
      <c r="H27" s="16" t="inlineStr">
        <is>
          <t>Orientamento</t>
        </is>
      </c>
      <c r="I27" s="16" t="inlineStr">
        <is>
          <t>Raccomandazione programma e percorso (GPS pre-iscrizione)</t>
        </is>
      </c>
      <c r="J27" s="16" t="inlineStr">
        <is>
          <t>Nuova</t>
        </is>
      </c>
      <c r="K27" s="16" t="inlineStr">
        <is>
          <t>Student</t>
        </is>
      </c>
      <c r="L27" s="16" t="inlineStr">
        <is>
          <t>T1 · BOOK-14</t>
        </is>
      </c>
      <c r="M27" s="16" t="inlineStr">
        <is>
          <t>In corso</t>
        </is>
      </c>
      <c r="N27" s="16" t="inlineStr">
        <is>
          <t>Anteprima crediti riconoscibili reale (riusa preval_workflow_service.compute_instant_estimate, zero-persistenza). La componente GPS/percorso (scenari Pareto multi-obiettivo) NON implementata: il motore GPS richiede un gemello reale, che non esiste pre-immatricolazione — tensione architetturale onestamente disclosurata in BOOK-21 v0.2, non un semplice rinvio.</t>
        </is>
      </c>
    </row>
    <row r="28" ht="23.85" customHeight="1" s="13">
      <c r="A28" s="15" t="inlineStr">
        <is>
          <t>BLG-027</t>
        </is>
      </c>
      <c r="B28" s="15" t="inlineStr">
        <is>
          <t>NEW-18</t>
        </is>
      </c>
      <c r="C28" s="15" t="inlineStr">
        <is>
          <t>W1</t>
        </is>
      </c>
      <c r="D28" s="15" t="inlineStr">
        <is>
          <t>A</t>
        </is>
      </c>
      <c r="E28" s="15" t="inlineStr">
        <is>
          <t>S4-S5</t>
        </is>
      </c>
      <c r="F28" s="15" t="inlineStr">
        <is>
          <t>M1</t>
        </is>
      </c>
      <c r="G28" s="16" t="inlineStr">
        <is>
          <t>19. Ammissioni &amp; Pre-Valutazione Titoli</t>
        </is>
      </c>
      <c r="H28" s="16" t="inlineStr">
        <is>
          <t>Orientamento</t>
        </is>
      </c>
      <c r="I28" s="16" t="inlineStr">
        <is>
          <t>Simulazione what-if durata/costo del percorso</t>
        </is>
      </c>
      <c r="J28" s="16" t="inlineStr">
        <is>
          <t>Estensione</t>
        </is>
      </c>
      <c r="K28" s="16" t="inlineStr">
        <is>
          <t>Student</t>
        </is>
      </c>
      <c r="L28" s="16" t="inlineStr">
        <is>
          <t>G15 · BOOK-14</t>
        </is>
      </c>
      <c r="M28" s="16" t="inlineStr">
        <is>
          <t>In corso</t>
        </is>
      </c>
      <c r="N28" s="16" t="inlineStr">
        <is>
          <t>ETA: stima standalone semplice (CFU residui / 60 CFU/anno). Costo: placeholder onesto null — nessun campo fee/retta esiste ancora su Program. Nessun confronto multi-scenario Pareto-completo.</t>
        </is>
      </c>
    </row>
    <row r="29" ht="23.85" customHeight="1" s="13">
      <c r="A29" s="15" t="inlineStr">
        <is>
          <t>BLG-028</t>
        </is>
      </c>
      <c r="B29" s="15" t="inlineStr">
        <is>
          <t>NEW-18</t>
        </is>
      </c>
      <c r="C29" s="15" t="inlineStr">
        <is>
          <t>W1</t>
        </is>
      </c>
      <c r="D29" s="15" t="inlineStr">
        <is>
          <t>A</t>
        </is>
      </c>
      <c r="E29" s="15" t="inlineStr">
        <is>
          <t>S4-S5</t>
        </is>
      </c>
      <c r="F29" s="15" t="inlineStr">
        <is>
          <t>M1</t>
        </is>
      </c>
      <c r="G29" s="16" t="inlineStr">
        <is>
          <t>19. Ammissioni &amp; Pre-Valutazione Titoli</t>
        </is>
      </c>
      <c r="H29" s="16" t="inlineStr">
        <is>
          <t>Pre-Valutazione dei Titoli di Studio</t>
        </is>
      </c>
      <c r="I29" s="16" t="inlineStr">
        <is>
          <t>Caricamento titoli e documenti (diploma, transcript, ID)</t>
        </is>
      </c>
      <c r="J29" s="16" t="inlineStr">
        <is>
          <t>Nuova</t>
        </is>
      </c>
      <c r="K29" s="16" t="inlineStr">
        <is>
          <t>Student</t>
        </is>
      </c>
      <c r="L29" s="16" t="inlineStr">
        <is>
          <t>T1</t>
        </is>
      </c>
      <c r="M29" s="16" t="inlineStr">
        <is>
          <t>Fatto</t>
        </is>
      </c>
      <c r="N29" s="16" t="inlineStr">
        <is>
          <t>qualification_service.add_qualification + add_qualification_document (stessa convenzione document_type/storage_uri di PrevalDocument).</t>
        </is>
      </c>
    </row>
    <row r="30" ht="23.85" customHeight="1" s="13">
      <c r="A30" s="15" t="inlineStr">
        <is>
          <t>BLG-029</t>
        </is>
      </c>
      <c r="B30" s="15" t="inlineStr">
        <is>
          <t>NEW-18</t>
        </is>
      </c>
      <c r="C30" s="15" t="inlineStr">
        <is>
          <t>W1</t>
        </is>
      </c>
      <c r="D30" s="15" t="inlineStr">
        <is>
          <t>A</t>
        </is>
      </c>
      <c r="E30" s="15" t="inlineStr">
        <is>
          <t>S4-S5</t>
        </is>
      </c>
      <c r="F30" s="15" t="inlineStr">
        <is>
          <t>M1</t>
        </is>
      </c>
      <c r="G30" s="16" t="inlineStr">
        <is>
          <t>19. Ammissioni &amp; Pre-Valutazione Titoli</t>
        </is>
      </c>
      <c r="H30" s="16" t="inlineStr">
        <is>
          <t>Pre-Valutazione dei Titoli di Studio</t>
        </is>
      </c>
      <c r="I30" s="16" t="inlineStr">
        <is>
          <t>Valutazione AI tier-1 dei titoli (equivalenze, confidenza, DM 931/2024 / PLA)</t>
        </is>
      </c>
      <c r="J30" s="16" t="inlineStr">
        <is>
          <t>Nuova</t>
        </is>
      </c>
      <c r="K30" s="16" t="inlineStr">
        <is>
          <t>BackOffice</t>
        </is>
      </c>
      <c r="L30" s="16" t="inlineStr">
        <is>
          <t>T1 · BOOK-21/14A</t>
        </is>
      </c>
      <c r="M30" s="16" t="inlineStr">
        <is>
          <t>Fatto</t>
        </is>
      </c>
      <c r="N30" s="16" t="inlineStr">
        <is>
          <t>run_tier1_evaluation. Matching istituzione: euristica onestamente disclosurata (match esatto poi substring case-insensitive su external_courses.source_institution_name) — nessuna vera politica DM 931/2024 codificata, nessun matching fabbricato quando non esiste corrispondenza.</t>
        </is>
      </c>
    </row>
    <row r="31" ht="23.85" customHeight="1" s="13">
      <c r="A31" s="15" t="inlineStr">
        <is>
          <t>BLG-030</t>
        </is>
      </c>
      <c r="B31" s="15" t="inlineStr">
        <is>
          <t>NEW-18</t>
        </is>
      </c>
      <c r="C31" s="15" t="inlineStr">
        <is>
          <t>W1</t>
        </is>
      </c>
      <c r="D31" s="15" t="inlineStr">
        <is>
          <t>A</t>
        </is>
      </c>
      <c r="E31" s="15" t="inlineStr">
        <is>
          <t>S4-S5</t>
        </is>
      </c>
      <c r="F31" s="15" t="inlineStr">
        <is>
          <t>M1</t>
        </is>
      </c>
      <c r="G31" s="16" t="inlineStr">
        <is>
          <t>19. Ammissioni &amp; Pre-Valutazione Titoli</t>
        </is>
      </c>
      <c r="H31" s="16" t="inlineStr">
        <is>
          <t>Pre-Valutazione dei Titoli di Studio</t>
        </is>
      </c>
      <c r="I31" s="16" t="inlineStr">
        <is>
          <t>Valutazione assistita / commissione (HITL)</t>
        </is>
      </c>
      <c r="J31" s="16" t="inlineStr">
        <is>
          <t>Nuova</t>
        </is>
      </c>
      <c r="K31" s="16" t="inlineStr">
        <is>
          <t>Dean / BackOffice</t>
        </is>
      </c>
      <c r="L31" s="16" t="inlineStr">
        <is>
          <t>T1</t>
        </is>
      </c>
      <c r="M31" s="16" t="inlineStr">
        <is>
          <t>Fatto</t>
        </is>
      </c>
      <c r="N31" s="16" t="inlineStr">
        <is>
          <t>escalate_evaluation_tier (tier 'assisted'/'committee'), motivo obbligatorio non-vuoto (R21.1).</t>
        </is>
      </c>
    </row>
    <row r="32" ht="23.85" customHeight="1" s="13">
      <c r="A32" s="15" t="inlineStr">
        <is>
          <t>BLG-031</t>
        </is>
      </c>
      <c r="B32" s="15" t="inlineStr">
        <is>
          <t>NEW-18</t>
        </is>
      </c>
      <c r="C32" s="15" t="inlineStr">
        <is>
          <t>W1</t>
        </is>
      </c>
      <c r="D32" s="15" t="inlineStr">
        <is>
          <t>A</t>
        </is>
      </c>
      <c r="E32" s="15" t="inlineStr">
        <is>
          <t>S4-S5</t>
        </is>
      </c>
      <c r="F32" s="15" t="inlineStr">
        <is>
          <t>M1</t>
        </is>
      </c>
      <c r="G32" s="16" t="inlineStr">
        <is>
          <t>19. Ammissioni &amp; Pre-Valutazione Titoli</t>
        </is>
      </c>
      <c r="H32" s="16" t="inlineStr">
        <is>
          <t>Pre-Valutazione dei Titoli di Studio</t>
        </is>
      </c>
      <c r="I32" s="16" t="inlineStr">
        <is>
          <t>Verdetto di eleggibilità contro i requisiti del programma</t>
        </is>
      </c>
      <c r="J32" s="16" t="inlineStr">
        <is>
          <t>Nuova</t>
        </is>
      </c>
      <c r="K32" s="16" t="inlineStr">
        <is>
          <t>BackOffice</t>
        </is>
      </c>
      <c r="L32" s="16" t="inlineStr">
        <is>
          <t>T1</t>
        </is>
      </c>
      <c r="M32" s="16" t="inlineStr">
        <is>
          <t>Fatto</t>
        </is>
      </c>
      <c r="N32" s="16" t="inlineStr">
        <is>
          <t>decide_eligibility + eligibility_verdicts. R21.2 (unmet_requirements obbligatorio per verdetti negativi/condizionati) + R21.3 (admissions_officer+ per verdetto negativo) entrambi verificati con property/fixture test.</t>
        </is>
      </c>
    </row>
    <row r="33" ht="23.85" customHeight="1" s="13">
      <c r="A33" s="15" t="inlineStr">
        <is>
          <t>BLG-032</t>
        </is>
      </c>
      <c r="B33" s="15" t="inlineStr">
        <is>
          <t>NEW-17d</t>
        </is>
      </c>
      <c r="C33" s="15" t="inlineStr">
        <is>
          <t>W1</t>
        </is>
      </c>
      <c r="D33" s="15" t="inlineStr">
        <is>
          <t>B</t>
        </is>
      </c>
      <c r="E33" s="15" t="inlineStr">
        <is>
          <t>S4-S5</t>
        </is>
      </c>
      <c r="F33" s="15" t="inlineStr">
        <is>
          <t>M1</t>
        </is>
      </c>
      <c r="G33" s="16" t="inlineStr">
        <is>
          <t>19. Ammissioni &amp; Pre-Valutazione Titoli</t>
        </is>
      </c>
      <c r="H33" s="16" t="inlineStr">
        <is>
          <t>Pre-Valutazione Crediti (dettaglio)</t>
        </is>
      </c>
      <c r="I33" s="16" t="inlineStr">
        <is>
          <t>Learning loop: golden set da pratiche storiche, metriche accuracy, GA gate su rilascio regole</t>
        </is>
      </c>
      <c r="J33" s="16" t="inlineStr">
        <is>
          <t>Nuova</t>
        </is>
      </c>
      <c r="K33" s="16" t="inlineStr">
        <is>
          <t>Admin AI Engineering</t>
        </is>
      </c>
      <c r="L33" s="16" t="inlineStr">
        <is>
          <t>PREVAL_SPEC §7</t>
        </is>
      </c>
      <c r="M33" s="16" t="inlineStr">
        <is>
          <t>Fatto</t>
        </is>
      </c>
      <c r="N33" s="16" t="inlineStr">
        <is>
          <t>Golden set (preval_eval_builder.py) + metriche (preval_eval_metrics.py: accuracy CFU, precision/recall, escalation/override rate) + learning loop (override HITL -&gt; corretta riga -&gt; golden set aggiornato, chiude anche C21A.6) + gate CI reale (preval_eval_gate.py, blocca build immagine in build-push-images.yml) + report settimanale + config soglia auto-approvazione per-CDS (default OFF, mai attivata). Certificazione onestamente PROVVISORIA: zero dati storici reali in questo ambiente (confermato in pre-flight) — golden set bootstrap (fixture Conti + traffico reale sprint 02-06), non un corpus storico. VRA-exactness e accuracy per componente (estrazione/SSD) onestamente None — nessun ground truth esiste per misurarle.</t>
        </is>
      </c>
    </row>
    <row r="34" ht="23.85" customHeight="1" s="13">
      <c r="A34" s="17" t="inlineStr">
        <is>
          <t>BLG-033</t>
        </is>
      </c>
      <c r="B34" s="17" t="inlineStr">
        <is>
          <t>NEW-20a</t>
        </is>
      </c>
      <c r="C34" s="17" t="inlineStr">
        <is>
          <t>W2</t>
        </is>
      </c>
      <c r="D34" s="17" t="inlineStr">
        <is>
          <t>A</t>
        </is>
      </c>
      <c r="E34" s="17" t="inlineStr">
        <is>
          <t>S6</t>
        </is>
      </c>
      <c r="F34" s="17" t="inlineStr">
        <is>
          <t>M2</t>
        </is>
      </c>
      <c r="G34" s="16" t="inlineStr">
        <is>
          <t>12. Credenziali, Badge &amp; Riconoscimenti</t>
        </is>
      </c>
      <c r="H34" s="16" t="inlineStr">
        <is>
          <t>Firma &amp; Export</t>
        </is>
      </c>
      <c r="I34" s="16" t="inlineStr">
        <is>
          <t>Contratto esecutivo e edizione catalogo come documenti verificabili</t>
        </is>
      </c>
      <c r="J34" s="16" t="inlineStr">
        <is>
          <t>Estensione</t>
        </is>
      </c>
      <c r="K34" s="16" t="inlineStr">
        <is>
          <t>Provost / CFO</t>
        </is>
      </c>
      <c r="L34" s="16" t="inlineStr">
        <is>
          <t>T4/T6</t>
        </is>
      </c>
      <c r="M34" s="16" t="inlineStr">
        <is>
          <t>Da fare</t>
        </is>
      </c>
      <c r="N34" s="16" t="n"/>
    </row>
    <row r="35" ht="23.85" customHeight="1" s="13">
      <c r="A35" s="17" t="inlineStr">
        <is>
          <t>BLG-034</t>
        </is>
      </c>
      <c r="B35" s="17" t="inlineStr">
        <is>
          <t>NEW-20a</t>
        </is>
      </c>
      <c r="C35" s="17" t="inlineStr">
        <is>
          <t>W2</t>
        </is>
      </c>
      <c r="D35" s="17" t="inlineStr">
        <is>
          <t>A</t>
        </is>
      </c>
      <c r="E35" s="17" t="inlineStr">
        <is>
          <t>S6</t>
        </is>
      </c>
      <c r="F35" s="17" t="inlineStr">
        <is>
          <t>M2</t>
        </is>
      </c>
      <c r="G35" s="16" t="inlineStr">
        <is>
          <t>20. Faculty Lifecycle &amp; Contrattualizzazione</t>
        </is>
      </c>
      <c r="H35" s="16" t="inlineStr">
        <is>
          <t>Contrattualizzazione Authoring</t>
        </is>
      </c>
      <c r="I35" s="16" t="inlineStr">
        <is>
          <t>Generazione contratto da template (corso, formato FEX, compenso)</t>
        </is>
      </c>
      <c r="J35" s="16" t="inlineStr">
        <is>
          <t>Nuova</t>
        </is>
      </c>
      <c r="K35" s="16" t="inlineStr">
        <is>
          <t>Provost / CFO</t>
        </is>
      </c>
      <c r="L35" s="16" t="inlineStr">
        <is>
          <t>T4</t>
        </is>
      </c>
      <c r="M35" s="16" t="inlineStr">
        <is>
          <t>Da fare</t>
        </is>
      </c>
      <c r="N35" s="16" t="n"/>
    </row>
    <row r="36" ht="23.85" customHeight="1" s="13">
      <c r="A36" s="17" t="inlineStr">
        <is>
          <t>BLG-035</t>
        </is>
      </c>
      <c r="B36" s="17" t="inlineStr">
        <is>
          <t>NEW-20a</t>
        </is>
      </c>
      <c r="C36" s="17" t="inlineStr">
        <is>
          <t>W2</t>
        </is>
      </c>
      <c r="D36" s="17" t="inlineStr">
        <is>
          <t>A</t>
        </is>
      </c>
      <c r="E36" s="17" t="inlineStr">
        <is>
          <t>S6</t>
        </is>
      </c>
      <c r="F36" s="17" t="inlineStr">
        <is>
          <t>M2</t>
        </is>
      </c>
      <c r="G36" s="16" t="inlineStr">
        <is>
          <t>20. Faculty Lifecycle &amp; Contrattualizzazione</t>
        </is>
      </c>
      <c r="H36" s="16" t="inlineStr">
        <is>
          <t>Contrattualizzazione Authoring</t>
        </is>
      </c>
      <c r="I36" s="16" t="inlineStr">
        <is>
          <t>Firma digitale multi-ruolo: Provost/CFO/ufficio + docente (QES eIDAS)</t>
        </is>
      </c>
      <c r="J36" s="16" t="inlineStr">
        <is>
          <t>Nuova</t>
        </is>
      </c>
      <c r="K36" s="16" t="inlineStr">
        <is>
          <t>Provost / CFO / Teacher</t>
        </is>
      </c>
      <c r="L36" s="16" t="inlineStr">
        <is>
          <t>T4 · qes_*</t>
        </is>
      </c>
      <c r="M36" s="16" t="inlineStr">
        <is>
          <t>Da fare</t>
        </is>
      </c>
      <c r="N36" s="16" t="n"/>
    </row>
    <row r="37" ht="23.85" customHeight="1" s="13">
      <c r="A37" s="17" t="inlineStr">
        <is>
          <t>BLG-036</t>
        </is>
      </c>
      <c r="B37" s="17" t="inlineStr">
        <is>
          <t>NEW-20a</t>
        </is>
      </c>
      <c r="C37" s="17" t="inlineStr">
        <is>
          <t>W2</t>
        </is>
      </c>
      <c r="D37" s="17" t="inlineStr">
        <is>
          <t>A</t>
        </is>
      </c>
      <c r="E37" s="17" t="inlineStr">
        <is>
          <t>S6</t>
        </is>
      </c>
      <c r="F37" s="17" t="inlineStr">
        <is>
          <t>M2</t>
        </is>
      </c>
      <c r="G37" s="16" t="inlineStr">
        <is>
          <t>20. Faculty Lifecycle &amp; Contrattualizzazione</t>
        </is>
      </c>
      <c r="H37" s="16" t="inlineStr">
        <is>
          <t>Contrattualizzazione Authoring</t>
        </is>
      </c>
      <c r="I37" s="16" t="inlineStr">
        <is>
          <t>Archiviazione copia esecutiva come documento verificabile</t>
        </is>
      </c>
      <c r="J37" s="16" t="inlineStr">
        <is>
          <t>Nuova</t>
        </is>
      </c>
      <c r="K37" s="16" t="inlineStr">
        <is>
          <t>BackOffice</t>
        </is>
      </c>
      <c r="L37" s="16" t="inlineStr">
        <is>
          <t>T4 · BOOK-16</t>
        </is>
      </c>
      <c r="M37" s="16" t="inlineStr">
        <is>
          <t>Da fare</t>
        </is>
      </c>
      <c r="N37" s="16" t="n"/>
    </row>
    <row r="38" ht="23.85" customHeight="1" s="13">
      <c r="A38" s="17" t="inlineStr">
        <is>
          <t>BLG-037</t>
        </is>
      </c>
      <c r="B38" s="17" t="inlineStr">
        <is>
          <t>NEW-20a</t>
        </is>
      </c>
      <c r="C38" s="17" t="inlineStr">
        <is>
          <t>W2</t>
        </is>
      </c>
      <c r="D38" s="17" t="inlineStr">
        <is>
          <t>A</t>
        </is>
      </c>
      <c r="E38" s="17" t="inlineStr">
        <is>
          <t>S6</t>
        </is>
      </c>
      <c r="F38" s="17" t="inlineStr">
        <is>
          <t>M2</t>
        </is>
      </c>
      <c r="G38" s="16" t="inlineStr">
        <is>
          <t>20. Faculty Lifecycle &amp; Contrattualizzazione</t>
        </is>
      </c>
      <c r="H38" s="16" t="inlineStr">
        <is>
          <t>Onboarding Docente</t>
        </is>
      </c>
      <c r="I38" s="16" t="inlineStr">
        <is>
          <t>Registrazione docente e creazione account</t>
        </is>
      </c>
      <c r="J38" s="16" t="inlineStr">
        <is>
          <t>Nuova</t>
        </is>
      </c>
      <c r="K38" s="16" t="inlineStr">
        <is>
          <t>Teacher</t>
        </is>
      </c>
      <c r="L38" s="16" t="inlineStr">
        <is>
          <t>T4 · BOOK-22</t>
        </is>
      </c>
      <c r="M38" s="16" t="inlineStr">
        <is>
          <t>Da fare</t>
        </is>
      </c>
      <c r="N38" s="16" t="n"/>
    </row>
    <row r="39" ht="23.85" customHeight="1" s="13">
      <c r="A39" s="17" t="inlineStr">
        <is>
          <t>BLG-038</t>
        </is>
      </c>
      <c r="B39" s="17" t="inlineStr">
        <is>
          <t>NEW-20a</t>
        </is>
      </c>
      <c r="C39" s="17" t="inlineStr">
        <is>
          <t>W2</t>
        </is>
      </c>
      <c r="D39" s="17" t="inlineStr">
        <is>
          <t>A</t>
        </is>
      </c>
      <c r="E39" s="17" t="inlineStr">
        <is>
          <t>S6</t>
        </is>
      </c>
      <c r="F39" s="17" t="inlineStr">
        <is>
          <t>M2</t>
        </is>
      </c>
      <c r="G39" s="16" t="inlineStr">
        <is>
          <t>20. Faculty Lifecycle &amp; Contrattualizzazione</t>
        </is>
      </c>
      <c r="H39" s="16" t="inlineStr">
        <is>
          <t>Onboarding Docente</t>
        </is>
      </c>
      <c r="I39" s="16" t="inlineStr">
        <is>
          <t>Upload documenti: ID personale, career transcript, dati fiscali</t>
        </is>
      </c>
      <c r="J39" s="16" t="inlineStr">
        <is>
          <t>Nuova</t>
        </is>
      </c>
      <c r="K39" s="16" t="inlineStr">
        <is>
          <t>Teacher</t>
        </is>
      </c>
      <c r="L39" s="16" t="inlineStr">
        <is>
          <t>T4 · Course Creation v1.0</t>
        </is>
      </c>
      <c r="M39" s="16" t="inlineStr">
        <is>
          <t>Da fare</t>
        </is>
      </c>
      <c r="N39" s="16" t="n"/>
    </row>
    <row r="40" ht="23.85" customHeight="1" s="13">
      <c r="A40" s="17" t="inlineStr">
        <is>
          <t>BLG-039</t>
        </is>
      </c>
      <c r="B40" s="17" t="inlineStr">
        <is>
          <t>NEW-20a</t>
        </is>
      </c>
      <c r="C40" s="17" t="inlineStr">
        <is>
          <t>W2</t>
        </is>
      </c>
      <c r="D40" s="17" t="inlineStr">
        <is>
          <t>A</t>
        </is>
      </c>
      <c r="E40" s="17" t="inlineStr">
        <is>
          <t>S6</t>
        </is>
      </c>
      <c r="F40" s="17" t="inlineStr">
        <is>
          <t>M2</t>
        </is>
      </c>
      <c r="G40" s="16" t="inlineStr">
        <is>
          <t>20. Faculty Lifecycle &amp; Contrattualizzazione</t>
        </is>
      </c>
      <c r="H40" s="16" t="inlineStr">
        <is>
          <t>Onboarding Docente</t>
        </is>
      </c>
      <c r="I40" s="16" t="inlineStr">
        <is>
          <t>Verifica documenti da back-office e attivazione profilo</t>
        </is>
      </c>
      <c r="J40" s="16" t="inlineStr">
        <is>
          <t>Nuova</t>
        </is>
      </c>
      <c r="K40" s="16" t="inlineStr">
        <is>
          <t>BackOffice</t>
        </is>
      </c>
      <c r="L40" s="16" t="inlineStr">
        <is>
          <t>T4</t>
        </is>
      </c>
      <c r="M40" s="16" t="inlineStr">
        <is>
          <t>Da fare</t>
        </is>
      </c>
      <c r="N40" s="16" t="n"/>
    </row>
    <row r="41" ht="15" customHeight="1" s="13">
      <c r="A41" s="17" t="inlineStr">
        <is>
          <t>BLG-040</t>
        </is>
      </c>
      <c r="B41" s="17" t="inlineStr">
        <is>
          <t>NEW-20a</t>
        </is>
      </c>
      <c r="C41" s="17" t="inlineStr">
        <is>
          <t>W2</t>
        </is>
      </c>
      <c r="D41" s="17" t="inlineStr">
        <is>
          <t>A</t>
        </is>
      </c>
      <c r="E41" s="17" t="inlineStr">
        <is>
          <t>S6</t>
        </is>
      </c>
      <c r="F41" s="17" t="inlineStr">
        <is>
          <t>M2</t>
        </is>
      </c>
      <c r="G41" s="16" t="inlineStr">
        <is>
          <t>3. Authoring &amp; Gestione Corsi</t>
        </is>
      </c>
      <c r="H41" s="16" t="inlineStr">
        <is>
          <t>Struttura del Corso</t>
        </is>
      </c>
      <c r="I41" s="16" t="inlineStr">
        <is>
          <t>Lineage incarico→corso (authoring engagement)</t>
        </is>
      </c>
      <c r="J41" s="16" t="inlineStr">
        <is>
          <t>Nuova</t>
        </is>
      </c>
      <c r="K41" s="16" t="inlineStr">
        <is>
          <t>Teacher</t>
        </is>
      </c>
      <c r="L41" s="16" t="inlineStr">
        <is>
          <t>T4 · BOOK-22</t>
        </is>
      </c>
      <c r="M41" s="16" t="inlineStr">
        <is>
          <t>Da fare</t>
        </is>
      </c>
      <c r="N41" s="16" t="n"/>
    </row>
    <row r="42" ht="23.85" customHeight="1" s="13">
      <c r="A42" s="17" t="inlineStr">
        <is>
          <t>BLG-041</t>
        </is>
      </c>
      <c r="B42" s="17" t="inlineStr">
        <is>
          <t>NEW-22</t>
        </is>
      </c>
      <c r="C42" s="17" t="inlineStr">
        <is>
          <t>W2</t>
        </is>
      </c>
      <c r="D42" s="17" t="inlineStr">
        <is>
          <t>B</t>
        </is>
      </c>
      <c r="E42" s="17" t="inlineStr">
        <is>
          <t>S6</t>
        </is>
      </c>
      <c r="F42" s="17" t="inlineStr">
        <is>
          <t>M2</t>
        </is>
      </c>
      <c r="G42" s="16" t="inlineStr">
        <is>
          <t>10. Esperienza Studente &amp; Lifecycle</t>
        </is>
      </c>
      <c r="H42" s="16" t="inlineStr">
        <is>
          <t>Iscrizioni &amp; Progresso</t>
        </is>
      </c>
      <c r="I42" s="16" t="inlineStr">
        <is>
          <t>Onboarding guidato studente (profilo, consensi, diagnostica, goal — WS00)</t>
        </is>
      </c>
      <c r="J42" s="16" t="inlineStr">
        <is>
          <t>Nuova</t>
        </is>
      </c>
      <c r="K42" s="16" t="inlineStr">
        <is>
          <t>Student</t>
        </is>
      </c>
      <c r="L42" s="16" t="inlineStr">
        <is>
          <t>T2</t>
        </is>
      </c>
      <c r="M42" s="16" t="inlineStr">
        <is>
          <t>Da fare</t>
        </is>
      </c>
      <c r="N42" s="16" t="n"/>
    </row>
    <row r="43" ht="23.85" customHeight="1" s="13">
      <c r="A43" s="17" t="inlineStr">
        <is>
          <t>BLG-042</t>
        </is>
      </c>
      <c r="B43" s="17" t="inlineStr">
        <is>
          <t>NEW-22</t>
        </is>
      </c>
      <c r="C43" s="17" t="inlineStr">
        <is>
          <t>W2</t>
        </is>
      </c>
      <c r="D43" s="17" t="inlineStr">
        <is>
          <t>B</t>
        </is>
      </c>
      <c r="E43" s="17" t="inlineStr">
        <is>
          <t>S6</t>
        </is>
      </c>
      <c r="F43" s="17" t="inlineStr">
        <is>
          <t>M2</t>
        </is>
      </c>
      <c r="G43" s="16" t="inlineStr">
        <is>
          <t>8. Assessment &amp; Valutazione</t>
        </is>
      </c>
      <c r="H43" s="16" t="inlineStr">
        <is>
          <t>Prove &amp; Quiz</t>
        </is>
      </c>
      <c r="I43" s="16" t="inlineStr">
        <is>
          <t>Pre-valutazione diagnostica delle conoscenze (baseline knowledge map)</t>
        </is>
      </c>
      <c r="J43" s="16" t="inlineStr">
        <is>
          <t>Nuova</t>
        </is>
      </c>
      <c r="K43" s="16" t="inlineStr">
        <is>
          <t>Student</t>
        </is>
      </c>
      <c r="L43" s="16" t="inlineStr">
        <is>
          <t>T2 · BOOK-06 agg.</t>
        </is>
      </c>
      <c r="M43" s="16" t="inlineStr">
        <is>
          <t>Da fare</t>
        </is>
      </c>
      <c r="N43" s="16" t="n"/>
    </row>
    <row r="44" ht="23.85" customHeight="1" s="13">
      <c r="A44" s="17" t="inlineStr">
        <is>
          <t>BLG-043</t>
        </is>
      </c>
      <c r="B44" s="17" t="inlineStr">
        <is>
          <t>NEW-22</t>
        </is>
      </c>
      <c r="C44" s="17" t="inlineStr">
        <is>
          <t>W2</t>
        </is>
      </c>
      <c r="D44" s="17" t="inlineStr">
        <is>
          <t>B</t>
        </is>
      </c>
      <c r="E44" s="17" t="inlineStr">
        <is>
          <t>S6</t>
        </is>
      </c>
      <c r="F44" s="17" t="inlineStr">
        <is>
          <t>M2</t>
        </is>
      </c>
      <c r="G44" s="16" t="inlineStr">
        <is>
          <t>9. Personalizzazione &amp; Apprendimento Adattivo</t>
        </is>
      </c>
      <c r="H44" s="16" t="inlineStr">
        <is>
          <t>Modello dello Studente</t>
        </is>
      </c>
      <c r="I44" s="16" t="inlineStr">
        <is>
          <t>Key objective contrattualizzato con revisioni periodiche</t>
        </is>
      </c>
      <c r="J44" s="16" t="inlineStr">
        <is>
          <t>Nuova</t>
        </is>
      </c>
      <c r="K44" s="16" t="inlineStr">
        <is>
          <t>Student</t>
        </is>
      </c>
      <c r="L44" s="16" t="inlineStr">
        <is>
          <t>T2</t>
        </is>
      </c>
      <c r="M44" s="16" t="inlineStr">
        <is>
          <t>Da fare</t>
        </is>
      </c>
      <c r="N44" s="16" t="n"/>
    </row>
    <row r="45" ht="23.85" customHeight="1" s="13">
      <c r="A45" s="17" t="inlineStr">
        <is>
          <t>BLG-044</t>
        </is>
      </c>
      <c r="B45" s="17" t="inlineStr">
        <is>
          <t>NEW-20b</t>
        </is>
      </c>
      <c r="C45" s="17" t="inlineStr">
        <is>
          <t>W2</t>
        </is>
      </c>
      <c r="D45" s="17" t="inlineStr">
        <is>
          <t>A</t>
        </is>
      </c>
      <c r="E45" s="17" t="inlineStr">
        <is>
          <t>S7</t>
        </is>
      </c>
      <c r="F45" s="17" t="inlineStr">
        <is>
          <t>M2</t>
        </is>
      </c>
      <c r="G45" s="16" t="inlineStr">
        <is>
          <t>20. Faculty Lifecycle &amp; Contrattualizzazione</t>
        </is>
      </c>
      <c r="H45" s="16" t="inlineStr">
        <is>
          <t>Delivery &amp; Compensi</t>
        </is>
      </c>
      <c r="I45" s="16" t="inlineStr">
        <is>
          <t>Milestone contrattuali (30% design / 70% full course) e deliverable</t>
        </is>
      </c>
      <c r="J45" s="16" t="inlineStr">
        <is>
          <t>Nuova</t>
        </is>
      </c>
      <c r="K45" s="16" t="inlineStr">
        <is>
          <t>Teacher / CFO</t>
        </is>
      </c>
      <c r="L45" s="16" t="inlineStr">
        <is>
          <t>T4</t>
        </is>
      </c>
      <c r="M45" s="16" t="inlineStr">
        <is>
          <t>Da fare</t>
        </is>
      </c>
      <c r="N45" s="16" t="n"/>
    </row>
    <row r="46" ht="23.85" customHeight="1" s="13">
      <c r="A46" s="17" t="inlineStr">
        <is>
          <t>BLG-045</t>
        </is>
      </c>
      <c r="B46" s="17" t="inlineStr">
        <is>
          <t>NEW-20b</t>
        </is>
      </c>
      <c r="C46" s="17" t="inlineStr">
        <is>
          <t>W2</t>
        </is>
      </c>
      <c r="D46" s="17" t="inlineStr">
        <is>
          <t>A</t>
        </is>
      </c>
      <c r="E46" s="17" t="inlineStr">
        <is>
          <t>S7</t>
        </is>
      </c>
      <c r="F46" s="17" t="inlineStr">
        <is>
          <t>M2</t>
        </is>
      </c>
      <c r="G46" s="16" t="inlineStr">
        <is>
          <t>20. Faculty Lifecycle &amp; Contrattualizzazione</t>
        </is>
      </c>
      <c r="H46" s="16" t="inlineStr">
        <is>
          <t>Delivery &amp; Compensi</t>
        </is>
      </c>
      <c r="I46" s="16" t="inlineStr">
        <is>
          <t>Gate di approvazione deliverable (design review, QA pubblicazione)</t>
        </is>
      </c>
      <c r="J46" s="16" t="inlineStr">
        <is>
          <t>Nuova</t>
        </is>
      </c>
      <c r="K46" s="16" t="inlineStr">
        <is>
          <t>Dean / Tech Admin</t>
        </is>
      </c>
      <c r="L46" s="16" t="inlineStr">
        <is>
          <t>T4</t>
        </is>
      </c>
      <c r="M46" s="16" t="inlineStr">
        <is>
          <t>Da fare</t>
        </is>
      </c>
      <c r="N46" s="16" t="n"/>
    </row>
    <row r="47" ht="23.85" customHeight="1" s="13">
      <c r="A47" s="17" t="inlineStr">
        <is>
          <t>BLG-046</t>
        </is>
      </c>
      <c r="B47" s="17" t="inlineStr">
        <is>
          <t>NEW-20b</t>
        </is>
      </c>
      <c r="C47" s="17" t="inlineStr">
        <is>
          <t>W2</t>
        </is>
      </c>
      <c r="D47" s="17" t="inlineStr">
        <is>
          <t>A</t>
        </is>
      </c>
      <c r="E47" s="17" t="inlineStr">
        <is>
          <t>S7</t>
        </is>
      </c>
      <c r="F47" s="17" t="inlineStr">
        <is>
          <t>M2</t>
        </is>
      </c>
      <c r="G47" s="16" t="inlineStr">
        <is>
          <t>20. Faculty Lifecycle &amp; Contrattualizzazione</t>
        </is>
      </c>
      <c r="H47" s="16" t="inlineStr">
        <is>
          <t>Delivery &amp; Compensi</t>
        </is>
      </c>
      <c r="I47" s="16" t="inlineStr">
        <is>
          <t>Rilascio automatico fattura passiva ad approvazione milestone</t>
        </is>
      </c>
      <c r="J47" s="16" t="inlineStr">
        <is>
          <t>Nuova</t>
        </is>
      </c>
      <c r="K47" s="16" t="inlineStr">
        <is>
          <t>CFO / BackOffice</t>
        </is>
      </c>
      <c r="L47" s="16" t="inlineStr">
        <is>
          <t>T4/T7</t>
        </is>
      </c>
      <c r="M47" s="16" t="inlineStr">
        <is>
          <t>Da fare</t>
        </is>
      </c>
      <c r="N47" s="16" t="n"/>
    </row>
    <row r="48" ht="23.85" customHeight="1" s="13">
      <c r="A48" s="17" t="inlineStr">
        <is>
          <t>BLG-047</t>
        </is>
      </c>
      <c r="B48" s="17" t="inlineStr">
        <is>
          <t>NEW-20b</t>
        </is>
      </c>
      <c r="C48" s="17" t="inlineStr">
        <is>
          <t>W2</t>
        </is>
      </c>
      <c r="D48" s="17" t="inlineStr">
        <is>
          <t>A</t>
        </is>
      </c>
      <c r="E48" s="17" t="inlineStr">
        <is>
          <t>S7</t>
        </is>
      </c>
      <c r="F48" s="17" t="inlineStr">
        <is>
          <t>M2</t>
        </is>
      </c>
      <c r="G48" s="16" t="inlineStr">
        <is>
          <t>22. Finanza &amp; Amministrazione Nativa</t>
        </is>
      </c>
      <c r="H48" s="16" t="inlineStr">
        <is>
          <t>Budget</t>
        </is>
      </c>
      <c r="I48" s="16" t="inlineStr">
        <is>
          <t>Budget annuale e voci per dipartimento/programma</t>
        </is>
      </c>
      <c r="J48" s="16" t="inlineStr">
        <is>
          <t>Nuova</t>
        </is>
      </c>
      <c r="K48" s="16" t="inlineStr">
        <is>
          <t>CFO</t>
        </is>
      </c>
      <c r="L48" s="16" t="inlineStr">
        <is>
          <t>T7</t>
        </is>
      </c>
      <c r="M48" s="16" t="inlineStr">
        <is>
          <t>Da fare</t>
        </is>
      </c>
      <c r="N48" s="16" t="n"/>
    </row>
    <row r="49" ht="23.85" customHeight="1" s="13">
      <c r="A49" s="17" t="inlineStr">
        <is>
          <t>BLG-048</t>
        </is>
      </c>
      <c r="B49" s="17" t="inlineStr">
        <is>
          <t>NEW-20b</t>
        </is>
      </c>
      <c r="C49" s="17" t="inlineStr">
        <is>
          <t>W2</t>
        </is>
      </c>
      <c r="D49" s="17" t="inlineStr">
        <is>
          <t>A</t>
        </is>
      </c>
      <c r="E49" s="17" t="inlineStr">
        <is>
          <t>S7</t>
        </is>
      </c>
      <c r="F49" s="17" t="inlineStr">
        <is>
          <t>M2</t>
        </is>
      </c>
      <c r="G49" s="16" t="inlineStr">
        <is>
          <t>22. Finanza &amp; Amministrazione Nativa</t>
        </is>
      </c>
      <c r="H49" s="16" t="inlineStr">
        <is>
          <t>Budget</t>
        </is>
      </c>
      <c r="I49" s="16" t="inlineStr">
        <is>
          <t>Budget vs actual con imputazione automatica</t>
        </is>
      </c>
      <c r="J49" s="16" t="inlineStr">
        <is>
          <t>Nuova</t>
        </is>
      </c>
      <c r="K49" s="16" t="inlineStr">
        <is>
          <t>CFO</t>
        </is>
      </c>
      <c r="L49" s="16" t="inlineStr">
        <is>
          <t>T7/T10</t>
        </is>
      </c>
      <c r="M49" s="16" t="inlineStr">
        <is>
          <t>Da fare</t>
        </is>
      </c>
      <c r="N49" s="16" t="n"/>
    </row>
    <row r="50" ht="23.85" customHeight="1" s="13">
      <c r="A50" s="17" t="inlineStr">
        <is>
          <t>BLG-049</t>
        </is>
      </c>
      <c r="B50" s="17" t="inlineStr">
        <is>
          <t>NEW-20b</t>
        </is>
      </c>
      <c r="C50" s="17" t="inlineStr">
        <is>
          <t>W2</t>
        </is>
      </c>
      <c r="D50" s="17" t="inlineStr">
        <is>
          <t>A</t>
        </is>
      </c>
      <c r="E50" s="17" t="inlineStr">
        <is>
          <t>S7</t>
        </is>
      </c>
      <c r="F50" s="17" t="inlineStr">
        <is>
          <t>M2</t>
        </is>
      </c>
      <c r="G50" s="16" t="inlineStr">
        <is>
          <t>22. Finanza &amp; Amministrazione Nativa</t>
        </is>
      </c>
      <c r="H50" s="16" t="inlineStr">
        <is>
          <t>Ciclo Passivo (Docenti/Fornitori)</t>
        </is>
      </c>
      <c r="I50" s="16" t="inlineStr">
        <is>
          <t>Fatture passive da milestone authoring</t>
        </is>
      </c>
      <c r="J50" s="16" t="inlineStr">
        <is>
          <t>Nuova</t>
        </is>
      </c>
      <c r="K50" s="16" t="inlineStr">
        <is>
          <t>CFO</t>
        </is>
      </c>
      <c r="L50" s="16" t="inlineStr">
        <is>
          <t>T7/T4</t>
        </is>
      </c>
      <c r="M50" s="16" t="inlineStr">
        <is>
          <t>Da fare</t>
        </is>
      </c>
      <c r="N50" s="16" t="n"/>
    </row>
    <row r="51" ht="23.85" customHeight="1" s="13">
      <c r="A51" s="17" t="inlineStr">
        <is>
          <t>BLG-050</t>
        </is>
      </c>
      <c r="B51" s="17" t="inlineStr">
        <is>
          <t>NEW-20b</t>
        </is>
      </c>
      <c r="C51" s="17" t="inlineStr">
        <is>
          <t>W2</t>
        </is>
      </c>
      <c r="D51" s="17" t="inlineStr">
        <is>
          <t>A</t>
        </is>
      </c>
      <c r="E51" s="17" t="inlineStr">
        <is>
          <t>S7</t>
        </is>
      </c>
      <c r="F51" s="17" t="inlineStr">
        <is>
          <t>M2</t>
        </is>
      </c>
      <c r="G51" s="16" t="inlineStr">
        <is>
          <t>22. Finanza &amp; Amministrazione Nativa</t>
        </is>
      </c>
      <c r="H51" s="16" t="inlineStr">
        <is>
          <t>Ciclo Passivo (Docenti/Fornitori)</t>
        </is>
      </c>
      <c r="I51" s="16" t="inlineStr">
        <is>
          <t>Payment run con approvazione CFO</t>
        </is>
      </c>
      <c r="J51" s="16" t="inlineStr">
        <is>
          <t>Nuova</t>
        </is>
      </c>
      <c r="K51" s="16" t="inlineStr">
        <is>
          <t>CFO</t>
        </is>
      </c>
      <c r="L51" s="16" t="inlineStr">
        <is>
          <t>T7</t>
        </is>
      </c>
      <c r="M51" s="16" t="inlineStr">
        <is>
          <t>Da fare</t>
        </is>
      </c>
      <c r="N51" s="16" t="n"/>
    </row>
    <row r="52" ht="15" customHeight="1" s="13">
      <c r="A52" s="17" t="inlineStr">
        <is>
          <t>BLG-051</t>
        </is>
      </c>
      <c r="B52" s="17" t="inlineStr">
        <is>
          <t>NEW-23</t>
        </is>
      </c>
      <c r="C52" s="17" t="inlineStr">
        <is>
          <t>W2</t>
        </is>
      </c>
      <c r="D52" s="17" t="inlineStr">
        <is>
          <t>B</t>
        </is>
      </c>
      <c r="E52" s="17" t="inlineStr">
        <is>
          <t>S7</t>
        </is>
      </c>
      <c r="F52" s="17" t="inlineStr">
        <is>
          <t>M2</t>
        </is>
      </c>
      <c r="G52" s="16" t="inlineStr">
        <is>
          <t>10. Esperienza Studente &amp; Lifecycle</t>
        </is>
      </c>
      <c r="H52" s="16" t="inlineStr">
        <is>
          <t>Iscrizioni &amp; Progresso</t>
        </is>
      </c>
      <c r="I52" s="16" t="inlineStr">
        <is>
          <t>Snapshot trasformazione knowledge map (before/after corso)</t>
        </is>
      </c>
      <c r="J52" s="16" t="inlineStr">
        <is>
          <t>Nuova</t>
        </is>
      </c>
      <c r="K52" s="16" t="inlineStr">
        <is>
          <t>Student</t>
        </is>
      </c>
      <c r="L52" s="16" t="inlineStr">
        <is>
          <t>T3</t>
        </is>
      </c>
      <c r="M52" s="16" t="inlineStr">
        <is>
          <t>Da fare</t>
        </is>
      </c>
      <c r="N52" s="16" t="n"/>
    </row>
    <row r="53" ht="23.85" customHeight="1" s="13">
      <c r="A53" s="17" t="inlineStr">
        <is>
          <t>BLG-052</t>
        </is>
      </c>
      <c r="B53" s="17" t="inlineStr">
        <is>
          <t>NEW-23</t>
        </is>
      </c>
      <c r="C53" s="17" t="inlineStr">
        <is>
          <t>W2</t>
        </is>
      </c>
      <c r="D53" s="17" t="inlineStr">
        <is>
          <t>B</t>
        </is>
      </c>
      <c r="E53" s="17" t="inlineStr">
        <is>
          <t>S7</t>
        </is>
      </c>
      <c r="F53" s="17" t="inlineStr">
        <is>
          <t>M2</t>
        </is>
      </c>
      <c r="G53" s="16" t="inlineStr">
        <is>
          <t>12. Credenziali, Badge &amp; Riconoscimenti</t>
        </is>
      </c>
      <c r="H53" s="16" t="inlineStr">
        <is>
          <t>Badge &amp; Crediti</t>
        </is>
      </c>
      <c r="I53" s="16" t="inlineStr">
        <is>
          <t>Emissione automatica badge a superamento corso (evento CourseAchieved)</t>
        </is>
      </c>
      <c r="J53" s="16" t="inlineStr">
        <is>
          <t>Estensione</t>
        </is>
      </c>
      <c r="K53" s="16" t="inlineStr">
        <is>
          <t>Student</t>
        </is>
      </c>
      <c r="L53" s="16" t="inlineStr">
        <is>
          <t>T3 · BOOK-16 agg.</t>
        </is>
      </c>
      <c r="M53" s="16" t="inlineStr">
        <is>
          <t>Da fare</t>
        </is>
      </c>
      <c r="N53" s="16" t="n"/>
    </row>
    <row r="54" ht="23.85" customHeight="1" s="13">
      <c r="A54" s="17" t="inlineStr">
        <is>
          <t>BLG-053</t>
        </is>
      </c>
      <c r="B54" s="17" t="inlineStr">
        <is>
          <t>NEW-23</t>
        </is>
      </c>
      <c r="C54" s="17" t="inlineStr">
        <is>
          <t>W2</t>
        </is>
      </c>
      <c r="D54" s="17" t="inlineStr">
        <is>
          <t>B</t>
        </is>
      </c>
      <c r="E54" s="17" t="inlineStr">
        <is>
          <t>S7</t>
        </is>
      </c>
      <c r="F54" s="17" t="inlineStr">
        <is>
          <t>M2</t>
        </is>
      </c>
      <c r="G54" s="16" t="inlineStr">
        <is>
          <t>9. Personalizzazione &amp; Apprendimento Adattivo</t>
        </is>
      </c>
      <c r="H54" s="16" t="inlineStr">
        <is>
          <t>Pacing &amp; Percorsi</t>
        </is>
      </c>
      <c r="I54" s="16" t="inlineStr">
        <is>
          <t>Missioni di studio giornaliere (triade Canvas·Companion·Missions)</t>
        </is>
      </c>
      <c r="J54" s="16" t="inlineStr">
        <is>
          <t>Nuova</t>
        </is>
      </c>
      <c r="K54" s="16" t="inlineStr">
        <is>
          <t>Student</t>
        </is>
      </c>
      <c r="L54" s="16" t="inlineStr">
        <is>
          <t>T2 · BOOK-17 agg.</t>
        </is>
      </c>
      <c r="M54" s="16" t="inlineStr">
        <is>
          <t>Da fare</t>
        </is>
      </c>
      <c r="N54" s="16" t="n"/>
    </row>
    <row r="55" ht="23.85" customHeight="1" s="13">
      <c r="A55" s="17" t="inlineStr">
        <is>
          <t>BLG-054</t>
        </is>
      </c>
      <c r="B55" s="17" t="inlineStr">
        <is>
          <t>NEW-23</t>
        </is>
      </c>
      <c r="C55" s="17" t="inlineStr">
        <is>
          <t>W2</t>
        </is>
      </c>
      <c r="D55" s="17" t="inlineStr">
        <is>
          <t>B</t>
        </is>
      </c>
      <c r="E55" s="17" t="inlineStr">
        <is>
          <t>S7</t>
        </is>
      </c>
      <c r="F55" s="17" t="inlineStr">
        <is>
          <t>M2</t>
        </is>
      </c>
      <c r="G55" s="16" t="inlineStr">
        <is>
          <t>9. Personalizzazione &amp; Apprendimento Adattivo</t>
        </is>
      </c>
      <c r="H55" s="16" t="inlineStr">
        <is>
          <t>Tutoraggio &amp; Coaching AI</t>
        </is>
      </c>
      <c r="I55" s="16" t="inlineStr">
        <is>
          <t>Engine proattivo di retention e nudging (segnali di disimpegno)</t>
        </is>
      </c>
      <c r="J55" s="16" t="inlineStr">
        <is>
          <t>Nuova</t>
        </is>
      </c>
      <c r="K55" s="16" t="inlineStr">
        <is>
          <t>Student</t>
        </is>
      </c>
      <c r="L55" s="16" t="inlineStr">
        <is>
          <t>Piano SaaS EdTech</t>
        </is>
      </c>
      <c r="M55" s="16" t="inlineStr">
        <is>
          <t>Da fare</t>
        </is>
      </c>
      <c r="N55" s="16" t="n"/>
    </row>
    <row r="56" ht="15" customHeight="1" s="13">
      <c r="A56" s="17" t="inlineStr">
        <is>
          <t>BLG-055</t>
        </is>
      </c>
      <c r="B56" s="17" t="inlineStr">
        <is>
          <t>NEW-21</t>
        </is>
      </c>
      <c r="C56" s="17" t="inlineStr">
        <is>
          <t>W2</t>
        </is>
      </c>
      <c r="D56" s="17" t="inlineStr">
        <is>
          <t>A</t>
        </is>
      </c>
      <c r="E56" s="17" t="inlineStr">
        <is>
          <t>S8</t>
        </is>
      </c>
      <c r="F56" s="17" t="inlineStr">
        <is>
          <t>M2</t>
        </is>
      </c>
      <c r="G56" s="16" t="inlineStr">
        <is>
          <t>23. HR &amp; Organico</t>
        </is>
      </c>
      <c r="H56" s="16" t="inlineStr">
        <is>
          <t>Organico</t>
        </is>
      </c>
      <c r="I56" s="16" t="inlineStr">
        <is>
          <t>Posizioni (faculty, staff, adjunct) e stato copertura</t>
        </is>
      </c>
      <c r="J56" s="16" t="inlineStr">
        <is>
          <t>Nuova</t>
        </is>
      </c>
      <c r="K56" s="16" t="inlineStr">
        <is>
          <t>HR Lead</t>
        </is>
      </c>
      <c r="L56" s="16" t="inlineStr">
        <is>
          <t>T9 · BOOK-22</t>
        </is>
      </c>
      <c r="M56" s="16" t="inlineStr">
        <is>
          <t>Da fare</t>
        </is>
      </c>
      <c r="N56" s="16" t="n"/>
    </row>
    <row r="57" ht="15" customHeight="1" s="13">
      <c r="A57" s="17" t="inlineStr">
        <is>
          <t>BLG-056</t>
        </is>
      </c>
      <c r="B57" s="17" t="inlineStr">
        <is>
          <t>NEW-21</t>
        </is>
      </c>
      <c r="C57" s="17" t="inlineStr">
        <is>
          <t>W2</t>
        </is>
      </c>
      <c r="D57" s="17" t="inlineStr">
        <is>
          <t>A</t>
        </is>
      </c>
      <c r="E57" s="17" t="inlineStr">
        <is>
          <t>S8</t>
        </is>
      </c>
      <c r="F57" s="17" t="inlineStr">
        <is>
          <t>M2</t>
        </is>
      </c>
      <c r="G57" s="16" t="inlineStr">
        <is>
          <t>23. HR &amp; Organico</t>
        </is>
      </c>
      <c r="H57" s="16" t="inlineStr">
        <is>
          <t>Organico</t>
        </is>
      </c>
      <c r="I57" s="16" t="inlineStr">
        <is>
          <t>Contratti HR (FTE, decorrenza, scadenza)</t>
        </is>
      </c>
      <c r="J57" s="16" t="inlineStr">
        <is>
          <t>Nuova</t>
        </is>
      </c>
      <c r="K57" s="16" t="inlineStr">
        <is>
          <t>HR Lead</t>
        </is>
      </c>
      <c r="L57" s="16" t="inlineStr">
        <is>
          <t>T9</t>
        </is>
      </c>
      <c r="M57" s="16" t="inlineStr">
        <is>
          <t>Da fare</t>
        </is>
      </c>
      <c r="N57" s="16" t="n"/>
    </row>
    <row r="58" ht="23.85" customHeight="1" s="13">
      <c r="A58" s="17" t="inlineStr">
        <is>
          <t>BLG-057</t>
        </is>
      </c>
      <c r="B58" s="17" t="inlineStr">
        <is>
          <t>NEW-21</t>
        </is>
      </c>
      <c r="C58" s="17" t="inlineStr">
        <is>
          <t>W2</t>
        </is>
      </c>
      <c r="D58" s="17" t="inlineStr">
        <is>
          <t>A</t>
        </is>
      </c>
      <c r="E58" s="17" t="inlineStr">
        <is>
          <t>S8</t>
        </is>
      </c>
      <c r="F58" s="17" t="inlineStr">
        <is>
          <t>M2</t>
        </is>
      </c>
      <c r="G58" s="16" t="inlineStr">
        <is>
          <t>23. HR &amp; Organico</t>
        </is>
      </c>
      <c r="H58" s="16" t="inlineStr">
        <is>
          <t>Workload</t>
        </is>
      </c>
      <c r="I58" s="16" t="inlineStr">
        <is>
          <t>Ledger carico di lavoro (docenza, tutoring, tesi, commissioni, authoring)</t>
        </is>
      </c>
      <c r="J58" s="16" t="inlineStr">
        <is>
          <t>Nuova</t>
        </is>
      </c>
      <c r="K58" s="16" t="inlineStr">
        <is>
          <t>HR Lead</t>
        </is>
      </c>
      <c r="L58" s="16" t="inlineStr">
        <is>
          <t>T9</t>
        </is>
      </c>
      <c r="M58" s="16" t="inlineStr">
        <is>
          <t>Da fare</t>
        </is>
      </c>
      <c r="N58" s="16" t="n"/>
    </row>
    <row r="59" ht="15" customHeight="1" s="13">
      <c r="A59" s="17" t="inlineStr">
        <is>
          <t>BLG-058</t>
        </is>
      </c>
      <c r="B59" s="17" t="inlineStr">
        <is>
          <t>NEW-21</t>
        </is>
      </c>
      <c r="C59" s="17" t="inlineStr">
        <is>
          <t>W2</t>
        </is>
      </c>
      <c r="D59" s="17" t="inlineStr">
        <is>
          <t>A</t>
        </is>
      </c>
      <c r="E59" s="17" t="inlineStr">
        <is>
          <t>S8</t>
        </is>
      </c>
      <c r="F59" s="17" t="inlineStr">
        <is>
          <t>M2</t>
        </is>
      </c>
      <c r="G59" s="16" t="inlineStr">
        <is>
          <t>23. HR &amp; Organico</t>
        </is>
      </c>
      <c r="H59" s="16" t="inlineStr">
        <is>
          <t>Workload</t>
        </is>
      </c>
      <c r="I59" s="16" t="inlineStr">
        <is>
          <t>Misura del mentorship dividend (tempo AI → tutoring umano)</t>
        </is>
      </c>
      <c r="J59" s="16" t="inlineStr">
        <is>
          <t>Nuova</t>
        </is>
      </c>
      <c r="K59" s="16" t="inlineStr">
        <is>
          <t>HR Lead / Provost</t>
        </is>
      </c>
      <c r="L59" s="16" t="inlineStr">
        <is>
          <t>T9 · BOOK-07</t>
        </is>
      </c>
      <c r="M59" s="16" t="inlineStr">
        <is>
          <t>Da fare</t>
        </is>
      </c>
      <c r="N59" s="16" t="n"/>
    </row>
    <row r="60" ht="15" customHeight="1" s="13">
      <c r="A60" s="17" t="inlineStr">
        <is>
          <t>BLG-059</t>
        </is>
      </c>
      <c r="B60" s="17" t="inlineStr">
        <is>
          <t>NEW-24</t>
        </is>
      </c>
      <c r="C60" s="17" t="inlineStr">
        <is>
          <t>W2</t>
        </is>
      </c>
      <c r="D60" s="17" t="inlineStr">
        <is>
          <t>B</t>
        </is>
      </c>
      <c r="E60" s="17" t="inlineStr">
        <is>
          <t>S8</t>
        </is>
      </c>
      <c r="F60" s="17" t="inlineStr">
        <is>
          <t>M2</t>
        </is>
      </c>
      <c r="G60" s="16" t="inlineStr">
        <is>
          <t>11. Faculty &amp; Staff</t>
        </is>
      </c>
      <c r="H60" s="16" t="inlineStr">
        <is>
          <t>Didattica &amp; Assegnazioni</t>
        </is>
      </c>
      <c r="I60" s="16" t="inlineStr">
        <is>
          <t>Sessioni di tutoraggio umano con note ed esiti (FW4)</t>
        </is>
      </c>
      <c r="J60" s="16" t="inlineStr">
        <is>
          <t>Nuova</t>
        </is>
      </c>
      <c r="K60" s="16" t="inlineStr">
        <is>
          <t>Teacher</t>
        </is>
      </c>
      <c r="L60" s="16" t="inlineStr">
        <is>
          <t>T5 · BOOK-07 agg.</t>
        </is>
      </c>
      <c r="M60" s="16" t="inlineStr">
        <is>
          <t>Da fare</t>
        </is>
      </c>
      <c r="N60" s="16" t="n"/>
    </row>
    <row r="61" ht="15" customHeight="1" s="13">
      <c r="A61" s="17" t="inlineStr">
        <is>
          <t>BLG-060</t>
        </is>
      </c>
      <c r="B61" s="17" t="inlineStr">
        <is>
          <t>NEW-24</t>
        </is>
      </c>
      <c r="C61" s="17" t="inlineStr">
        <is>
          <t>W2</t>
        </is>
      </c>
      <c r="D61" s="17" t="inlineStr">
        <is>
          <t>B</t>
        </is>
      </c>
      <c r="E61" s="17" t="inlineStr">
        <is>
          <t>S8</t>
        </is>
      </c>
      <c r="F61" s="17" t="inlineStr">
        <is>
          <t>M2</t>
        </is>
      </c>
      <c r="G61" s="16" t="inlineStr">
        <is>
          <t>11. Faculty &amp; Staff</t>
        </is>
      </c>
      <c r="H61" s="16" t="inlineStr">
        <is>
          <t>Didattica &amp; Assegnazioni</t>
        </is>
      </c>
      <c r="I61" s="16" t="inlineStr">
        <is>
          <t>Audit accessi twin studente (purpose=staff_view)</t>
        </is>
      </c>
      <c r="J61" s="16" t="inlineStr">
        <is>
          <t>Nuova</t>
        </is>
      </c>
      <c r="K61" s="16" t="inlineStr">
        <is>
          <t>Teacher</t>
        </is>
      </c>
      <c r="L61" s="16" t="inlineStr">
        <is>
          <t>T5</t>
        </is>
      </c>
      <c r="M61" s="16" t="inlineStr">
        <is>
          <t>Da fare</t>
        </is>
      </c>
      <c r="N61" s="16" t="n"/>
    </row>
    <row r="62" ht="23.85" customHeight="1" s="13">
      <c r="A62" s="18" t="inlineStr">
        <is>
          <t>BLG-061</t>
        </is>
      </c>
      <c r="B62" s="18" t="inlineStr">
        <is>
          <t>NEW-25</t>
        </is>
      </c>
      <c r="C62" s="18" t="inlineStr">
        <is>
          <t>W3</t>
        </is>
      </c>
      <c r="D62" s="18" t="inlineStr">
        <is>
          <t>A</t>
        </is>
      </c>
      <c r="E62" s="18" t="inlineStr">
        <is>
          <t>S9</t>
        </is>
      </c>
      <c r="F62" s="18" t="inlineStr">
        <is>
          <t>M3</t>
        </is>
      </c>
      <c r="G62" s="16" t="inlineStr">
        <is>
          <t>21. Governance Accademica &amp; Policy</t>
        </is>
      </c>
      <c r="H62" s="16" t="inlineStr">
        <is>
          <t>Policy di Ateneo</t>
        </is>
      </c>
      <c r="I62" s="16" t="inlineStr">
        <is>
          <t>Authoring policy istituzionali (accademiche, ammissione, assessment, uso AI, finanziarie)</t>
        </is>
      </c>
      <c r="J62" s="16" t="inlineStr">
        <is>
          <t>Nuova</t>
        </is>
      </c>
      <c r="K62" s="16" t="inlineStr">
        <is>
          <t>Provost</t>
        </is>
      </c>
      <c r="L62" s="16" t="inlineStr">
        <is>
          <t>T6 · BOOK-24</t>
        </is>
      </c>
      <c r="M62" s="16" t="inlineStr">
        <is>
          <t>Da fare</t>
        </is>
      </c>
      <c r="N62" s="16" t="n"/>
    </row>
    <row r="63" ht="23.85" customHeight="1" s="13">
      <c r="A63" s="18" t="inlineStr">
        <is>
          <t>BLG-062</t>
        </is>
      </c>
      <c r="B63" s="18" t="inlineStr">
        <is>
          <t>NEW-25</t>
        </is>
      </c>
      <c r="C63" s="18" t="inlineStr">
        <is>
          <t>W3</t>
        </is>
      </c>
      <c r="D63" s="18" t="inlineStr">
        <is>
          <t>A</t>
        </is>
      </c>
      <c r="E63" s="18" t="inlineStr">
        <is>
          <t>S9</t>
        </is>
      </c>
      <c r="F63" s="18" t="inlineStr">
        <is>
          <t>M3</t>
        </is>
      </c>
      <c r="G63" s="16" t="inlineStr">
        <is>
          <t>21. Governance Accademica &amp; Policy</t>
        </is>
      </c>
      <c r="H63" s="16" t="inlineStr">
        <is>
          <t>Policy di Ateneo</t>
        </is>
      </c>
      <c r="I63" s="16" t="inlineStr">
        <is>
          <t>Versionamento policy per regulation-year e binding coorte (G7)</t>
        </is>
      </c>
      <c r="J63" s="16" t="inlineStr">
        <is>
          <t>Nuova</t>
        </is>
      </c>
      <c r="K63" s="16" t="inlineStr">
        <is>
          <t>Provost</t>
        </is>
      </c>
      <c r="L63" s="16" t="inlineStr">
        <is>
          <t>T6</t>
        </is>
      </c>
      <c r="M63" s="16" t="inlineStr">
        <is>
          <t>Da fare</t>
        </is>
      </c>
      <c r="N63" s="16" t="n"/>
    </row>
    <row r="64" ht="23.85" customHeight="1" s="13">
      <c r="A64" s="18" t="inlineStr">
        <is>
          <t>BLG-063</t>
        </is>
      </c>
      <c r="B64" s="18" t="inlineStr">
        <is>
          <t>NEW-25</t>
        </is>
      </c>
      <c r="C64" s="18" t="inlineStr">
        <is>
          <t>W3</t>
        </is>
      </c>
      <c r="D64" s="18" t="inlineStr">
        <is>
          <t>A</t>
        </is>
      </c>
      <c r="E64" s="18" t="inlineStr">
        <is>
          <t>S9</t>
        </is>
      </c>
      <c r="F64" s="18" t="inlineStr">
        <is>
          <t>M3</t>
        </is>
      </c>
      <c r="G64" s="16" t="inlineStr">
        <is>
          <t>21. Governance Accademica &amp; Policy</t>
        </is>
      </c>
      <c r="H64" s="16" t="inlineStr">
        <is>
          <t>Policy di Ateneo</t>
        </is>
      </c>
      <c r="I64" s="16" t="inlineStr">
        <is>
          <t>Approvazione e promulgazione (Provost / delibera board)</t>
        </is>
      </c>
      <c r="J64" s="16" t="inlineStr">
        <is>
          <t>Nuova</t>
        </is>
      </c>
      <c r="K64" s="16" t="inlineStr">
        <is>
          <t>Provost / Chairman</t>
        </is>
      </c>
      <c r="L64" s="16" t="inlineStr">
        <is>
          <t>T6/T10</t>
        </is>
      </c>
      <c r="M64" s="16" t="inlineStr">
        <is>
          <t>Da fare</t>
        </is>
      </c>
      <c r="N64" s="16" t="n"/>
    </row>
    <row r="65" ht="23.85" customHeight="1" s="13">
      <c r="A65" s="18" t="inlineStr">
        <is>
          <t>BLG-064</t>
        </is>
      </c>
      <c r="B65" s="18" t="inlineStr">
        <is>
          <t>NEW-25</t>
        </is>
      </c>
      <c r="C65" s="18" t="inlineStr">
        <is>
          <t>W3</t>
        </is>
      </c>
      <c r="D65" s="18" t="inlineStr">
        <is>
          <t>A</t>
        </is>
      </c>
      <c r="E65" s="18" t="inlineStr">
        <is>
          <t>S9</t>
        </is>
      </c>
      <c r="F65" s="18" t="inlineStr">
        <is>
          <t>M3</t>
        </is>
      </c>
      <c r="G65" s="16" t="inlineStr">
        <is>
          <t>21. Governance Accademica &amp; Policy</t>
        </is>
      </c>
      <c r="H65" s="16" t="inlineStr">
        <is>
          <t>Revisioni Programmi</t>
        </is>
      </c>
      <c r="I65" s="16" t="inlineStr">
        <is>
          <t>Program review periodica con rilievi qualità</t>
        </is>
      </c>
      <c r="J65" s="16" t="inlineStr">
        <is>
          <t>Nuova</t>
        </is>
      </c>
      <c r="K65" s="16" t="inlineStr">
        <is>
          <t>Dean</t>
        </is>
      </c>
      <c r="L65" s="16" t="inlineStr">
        <is>
          <t>T6</t>
        </is>
      </c>
      <c r="M65" s="16" t="inlineStr">
        <is>
          <t>Da fare</t>
        </is>
      </c>
      <c r="N65" s="16" t="n"/>
    </row>
    <row r="66" ht="23.85" customHeight="1" s="13">
      <c r="A66" s="18" t="inlineStr">
        <is>
          <t>BLG-065</t>
        </is>
      </c>
      <c r="B66" s="18" t="inlineStr">
        <is>
          <t>NEW-25</t>
        </is>
      </c>
      <c r="C66" s="18" t="inlineStr">
        <is>
          <t>W3</t>
        </is>
      </c>
      <c r="D66" s="18" t="inlineStr">
        <is>
          <t>A</t>
        </is>
      </c>
      <c r="E66" s="18" t="inlineStr">
        <is>
          <t>S9</t>
        </is>
      </c>
      <c r="F66" s="18" t="inlineStr">
        <is>
          <t>M3</t>
        </is>
      </c>
      <c r="G66" s="16" t="inlineStr">
        <is>
          <t>21. Governance Accademica &amp; Policy</t>
        </is>
      </c>
      <c r="H66" s="16" t="inlineStr">
        <is>
          <t>Revisioni Programmi</t>
        </is>
      </c>
      <c r="I66" s="16" t="inlineStr">
        <is>
          <t>Gestione teach-out con ratifica</t>
        </is>
      </c>
      <c r="J66" s="16" t="inlineStr">
        <is>
          <t>Nuova</t>
        </is>
      </c>
      <c r="K66" s="16" t="inlineStr">
        <is>
          <t>Provost / President</t>
        </is>
      </c>
      <c r="L66" s="16" t="inlineStr">
        <is>
          <t>T6/T10</t>
        </is>
      </c>
      <c r="M66" s="16" t="inlineStr">
        <is>
          <t>Da fare</t>
        </is>
      </c>
      <c r="N66" s="16" t="n"/>
    </row>
    <row r="67" ht="23.85" customHeight="1" s="13">
      <c r="A67" s="18" t="inlineStr">
        <is>
          <t>BLG-066</t>
        </is>
      </c>
      <c r="B67" s="18" t="inlineStr">
        <is>
          <t>NEW-25</t>
        </is>
      </c>
      <c r="C67" s="18" t="inlineStr">
        <is>
          <t>W3</t>
        </is>
      </c>
      <c r="D67" s="18" t="inlineStr">
        <is>
          <t>A</t>
        </is>
      </c>
      <c r="E67" s="18" t="inlineStr">
        <is>
          <t>S9</t>
        </is>
      </c>
      <c r="F67" s="18" t="inlineStr">
        <is>
          <t>M3</t>
        </is>
      </c>
      <c r="G67" s="16" t="inlineStr">
        <is>
          <t>3. Authoring &amp; Gestione Corsi</t>
        </is>
      </c>
      <c r="H67" s="16" t="inlineStr">
        <is>
          <t>Ciclo di Vita &amp; Workflow Editoriale</t>
        </is>
      </c>
      <c r="I67" s="16" t="inlineStr">
        <is>
          <t>Workflow di approvazione edizione catalogo (Dean→Provost, firma QES)</t>
        </is>
      </c>
      <c r="J67" s="16" t="inlineStr">
        <is>
          <t>Nuova</t>
        </is>
      </c>
      <c r="K67" s="16" t="inlineStr">
        <is>
          <t>Dean / Provost</t>
        </is>
      </c>
      <c r="L67" s="16" t="inlineStr">
        <is>
          <t>T6 · BOOK-24</t>
        </is>
      </c>
      <c r="M67" s="16" t="inlineStr">
        <is>
          <t>Da fare</t>
        </is>
      </c>
      <c r="N67" s="16" t="n"/>
    </row>
    <row r="68" ht="15" customHeight="1" s="13">
      <c r="A68" s="18" t="inlineStr">
        <is>
          <t>BLG-067</t>
        </is>
      </c>
      <c r="B68" s="18" t="inlineStr">
        <is>
          <t>NEW-25</t>
        </is>
      </c>
      <c r="C68" s="18" t="inlineStr">
        <is>
          <t>W3</t>
        </is>
      </c>
      <c r="D68" s="18" t="inlineStr">
        <is>
          <t>A</t>
        </is>
      </c>
      <c r="E68" s="18" t="inlineStr">
        <is>
          <t>S9</t>
        </is>
      </c>
      <c r="F68" s="18" t="inlineStr">
        <is>
          <t>M3</t>
        </is>
      </c>
      <c r="G68" s="16" t="inlineStr">
        <is>
          <t>7. Learning Outcomes &amp; Curriculum</t>
        </is>
      </c>
      <c r="H68" s="16" t="inlineStr">
        <is>
          <t>Curriculum &amp; Programmi</t>
        </is>
      </c>
      <c r="I68" s="16" t="inlineStr">
        <is>
          <t>Program knowledge map (grafo aggregato con copertura PLO)</t>
        </is>
      </c>
      <c r="J68" s="16" t="inlineStr">
        <is>
          <t>Nuova</t>
        </is>
      </c>
      <c r="K68" s="16" t="inlineStr">
        <is>
          <t>Dean</t>
        </is>
      </c>
      <c r="L68" s="16" t="inlineStr">
        <is>
          <t>T6</t>
        </is>
      </c>
      <c r="M68" s="16" t="inlineStr">
        <is>
          <t>Da fare</t>
        </is>
      </c>
      <c r="N68" s="16" t="n"/>
    </row>
    <row r="69" ht="23.85" customHeight="1" s="13">
      <c r="A69" s="18" t="inlineStr">
        <is>
          <t>BLG-068</t>
        </is>
      </c>
      <c r="B69" s="18" t="inlineStr">
        <is>
          <t>NEW-26</t>
        </is>
      </c>
      <c r="C69" s="18" t="inlineStr">
        <is>
          <t>W3</t>
        </is>
      </c>
      <c r="D69" s="18" t="inlineStr">
        <is>
          <t>B</t>
        </is>
      </c>
      <c r="E69" s="18" t="inlineStr">
        <is>
          <t>S9</t>
        </is>
      </c>
      <c r="F69" s="18" t="inlineStr">
        <is>
          <t>M3</t>
        </is>
      </c>
      <c r="G69" s="16" t="inlineStr">
        <is>
          <t>13. Analytics &amp; Reporting</t>
        </is>
      </c>
      <c r="H69" s="16" t="inlineStr">
        <is>
          <t>Metriche &amp; Salute</t>
        </is>
      </c>
      <c r="I69" s="16" t="inlineStr">
        <is>
          <t>KPI layer storicizzato (definizioni, target, snapshot multi-dominio)</t>
        </is>
      </c>
      <c r="J69" s="16" t="inlineStr">
        <is>
          <t>Nuova</t>
        </is>
      </c>
      <c r="K69" s="16" t="inlineStr">
        <is>
          <t>Management</t>
        </is>
      </c>
      <c r="L69" s="16" t="inlineStr">
        <is>
          <t>T10 · BOOK-24</t>
        </is>
      </c>
      <c r="M69" s="16" t="inlineStr">
        <is>
          <t>Da fare</t>
        </is>
      </c>
      <c r="N69" s="16" t="n"/>
    </row>
    <row r="70" ht="23.85" customHeight="1" s="13">
      <c r="A70" s="18" t="inlineStr">
        <is>
          <t>BLG-069</t>
        </is>
      </c>
      <c r="B70" s="18" t="inlineStr">
        <is>
          <t>NEW-26</t>
        </is>
      </c>
      <c r="C70" s="18" t="inlineStr">
        <is>
          <t>W3</t>
        </is>
      </c>
      <c r="D70" s="18" t="inlineStr">
        <is>
          <t>B</t>
        </is>
      </c>
      <c r="E70" s="18" t="inlineStr">
        <is>
          <t>S9</t>
        </is>
      </c>
      <c r="F70" s="18" t="inlineStr">
        <is>
          <t>M3</t>
        </is>
      </c>
      <c r="G70" s="16" t="inlineStr">
        <is>
          <t>24. Executive Command &amp; Corporate Governance</t>
        </is>
      </c>
      <c r="H70" s="16" t="inlineStr">
        <is>
          <t>KPI &amp; Alert</t>
        </is>
      </c>
      <c r="I70" s="16" t="inlineStr">
        <is>
          <t>Catalogo KPI multi-dominio (accademici, finanza, marketing, HR, AI)</t>
        </is>
      </c>
      <c r="J70" s="16" t="inlineStr">
        <is>
          <t>Nuova</t>
        </is>
      </c>
      <c r="K70" s="16" t="inlineStr">
        <is>
          <t>Management</t>
        </is>
      </c>
      <c r="L70" s="16" t="inlineStr">
        <is>
          <t>T10 · BOOK-24</t>
        </is>
      </c>
      <c r="M70" s="16" t="inlineStr">
        <is>
          <t>Da fare</t>
        </is>
      </c>
      <c r="N70" s="16" t="n"/>
    </row>
    <row r="71" ht="23.85" customHeight="1" s="13">
      <c r="A71" s="18" t="inlineStr">
        <is>
          <t>BLG-070</t>
        </is>
      </c>
      <c r="B71" s="18" t="inlineStr">
        <is>
          <t>NEW-26</t>
        </is>
      </c>
      <c r="C71" s="18" t="inlineStr">
        <is>
          <t>W3</t>
        </is>
      </c>
      <c r="D71" s="18" t="inlineStr">
        <is>
          <t>B</t>
        </is>
      </c>
      <c r="E71" s="18" t="inlineStr">
        <is>
          <t>S9</t>
        </is>
      </c>
      <c r="F71" s="18" t="inlineStr">
        <is>
          <t>M3</t>
        </is>
      </c>
      <c r="G71" s="16" t="inlineStr">
        <is>
          <t>24. Executive Command &amp; Corporate Governance</t>
        </is>
      </c>
      <c r="H71" s="16" t="inlineStr">
        <is>
          <t>KPI &amp; Alert</t>
        </is>
      </c>
      <c r="I71" s="16" t="inlineStr">
        <is>
          <t>Target, soglie e snapshot storicizzati</t>
        </is>
      </c>
      <c r="J71" s="16" t="inlineStr">
        <is>
          <t>Nuova</t>
        </is>
      </c>
      <c r="K71" s="16" t="inlineStr">
        <is>
          <t>Management</t>
        </is>
      </c>
      <c r="L71" s="16" t="inlineStr">
        <is>
          <t>T10</t>
        </is>
      </c>
      <c r="M71" s="16" t="inlineStr">
        <is>
          <t>Da fare</t>
        </is>
      </c>
      <c r="N71" s="16" t="n"/>
    </row>
    <row r="72" ht="23.85" customHeight="1" s="13">
      <c r="A72" s="18" t="inlineStr">
        <is>
          <t>BLG-071</t>
        </is>
      </c>
      <c r="B72" s="18" t="inlineStr">
        <is>
          <t>NEW-26</t>
        </is>
      </c>
      <c r="C72" s="18" t="inlineStr">
        <is>
          <t>W3</t>
        </is>
      </c>
      <c r="D72" s="18" t="inlineStr">
        <is>
          <t>B</t>
        </is>
      </c>
      <c r="E72" s="18" t="inlineStr">
        <is>
          <t>S9</t>
        </is>
      </c>
      <c r="F72" s="18" t="inlineStr">
        <is>
          <t>M3</t>
        </is>
      </c>
      <c r="G72" s="16" t="inlineStr">
        <is>
          <t>24. Executive Command &amp; Corporate Governance</t>
        </is>
      </c>
      <c r="H72" s="16" t="inlineStr">
        <is>
          <t>KPI &amp; Alert</t>
        </is>
      </c>
      <c r="I72" s="16" t="inlineStr">
        <is>
          <t>Alert executive su breach soglia con presa in carico</t>
        </is>
      </c>
      <c r="J72" s="16" t="inlineStr">
        <is>
          <t>Nuova</t>
        </is>
      </c>
      <c r="K72" s="16" t="inlineStr">
        <is>
          <t>Management</t>
        </is>
      </c>
      <c r="L72" s="16" t="inlineStr">
        <is>
          <t>T10</t>
        </is>
      </c>
      <c r="M72" s="16" t="inlineStr">
        <is>
          <t>Da fare</t>
        </is>
      </c>
      <c r="N72" s="16" t="n"/>
    </row>
    <row r="73" ht="23.85" customHeight="1" s="13">
      <c r="A73" s="18" t="inlineStr">
        <is>
          <t>BLG-072</t>
        </is>
      </c>
      <c r="B73" s="18" t="inlineStr">
        <is>
          <t>NEW-27</t>
        </is>
      </c>
      <c r="C73" s="18" t="inlineStr">
        <is>
          <t>W3</t>
        </is>
      </c>
      <c r="D73" s="18" t="inlineStr">
        <is>
          <t>A</t>
        </is>
      </c>
      <c r="E73" s="18" t="inlineStr">
        <is>
          <t>S10</t>
        </is>
      </c>
      <c r="F73" s="18" t="inlineStr">
        <is>
          <t>M3</t>
        </is>
      </c>
      <c r="G73" s="16" t="inlineStr">
        <is>
          <t>24. Executive Command &amp; Corporate Governance</t>
        </is>
      </c>
      <c r="H73" s="16" t="inlineStr">
        <is>
          <t>Dashboard di Ruolo</t>
        </is>
      </c>
      <c r="I73" s="16" t="inlineStr">
        <is>
          <t>Dashboard President (scorecard, tre economie)</t>
        </is>
      </c>
      <c r="J73" s="16" t="inlineStr">
        <is>
          <t>Nuova</t>
        </is>
      </c>
      <c r="K73" s="16" t="inlineStr">
        <is>
          <t>President</t>
        </is>
      </c>
      <c r="L73" s="16" t="inlineStr">
        <is>
          <t>T10 · IW1 est.</t>
        </is>
      </c>
      <c r="M73" s="16" t="inlineStr">
        <is>
          <t>Da fare</t>
        </is>
      </c>
      <c r="N73" s="16" t="n"/>
    </row>
    <row r="74" ht="23.85" customHeight="1" s="13">
      <c r="A74" s="18" t="inlineStr">
        <is>
          <t>BLG-073</t>
        </is>
      </c>
      <c r="B74" s="18" t="inlineStr">
        <is>
          <t>NEW-27</t>
        </is>
      </c>
      <c r="C74" s="18" t="inlineStr">
        <is>
          <t>W3</t>
        </is>
      </c>
      <c r="D74" s="18" t="inlineStr">
        <is>
          <t>A</t>
        </is>
      </c>
      <c r="E74" s="18" t="inlineStr">
        <is>
          <t>S10</t>
        </is>
      </c>
      <c r="F74" s="18" t="inlineStr">
        <is>
          <t>M3</t>
        </is>
      </c>
      <c r="G74" s="16" t="inlineStr">
        <is>
          <t>24. Executive Command &amp; Corporate Governance</t>
        </is>
      </c>
      <c r="H74" s="16" t="inlineStr">
        <is>
          <t>Dashboard di Ruolo</t>
        </is>
      </c>
      <c r="I74" s="16" t="inlineStr">
        <is>
          <t>Dashboard Chairman (board pack, delibere, rischi)</t>
        </is>
      </c>
      <c r="J74" s="16" t="inlineStr">
        <is>
          <t>Nuova</t>
        </is>
      </c>
      <c r="K74" s="16" t="inlineStr">
        <is>
          <t>Chairman</t>
        </is>
      </c>
      <c r="L74" s="16" t="inlineStr">
        <is>
          <t>T10</t>
        </is>
      </c>
      <c r="M74" s="16" t="inlineStr">
        <is>
          <t>Da fare</t>
        </is>
      </c>
      <c r="N74" s="16" t="n"/>
    </row>
    <row r="75" ht="23.85" customHeight="1" s="13">
      <c r="A75" s="18" t="inlineStr">
        <is>
          <t>BLG-074</t>
        </is>
      </c>
      <c r="B75" s="18" t="inlineStr">
        <is>
          <t>NEW-27</t>
        </is>
      </c>
      <c r="C75" s="18" t="inlineStr">
        <is>
          <t>W3</t>
        </is>
      </c>
      <c r="D75" s="18" t="inlineStr">
        <is>
          <t>A</t>
        </is>
      </c>
      <c r="E75" s="18" t="inlineStr">
        <is>
          <t>S10</t>
        </is>
      </c>
      <c r="F75" s="18" t="inlineStr">
        <is>
          <t>M3</t>
        </is>
      </c>
      <c r="G75" s="16" t="inlineStr">
        <is>
          <t>24. Executive Command &amp; Corporate Governance</t>
        </is>
      </c>
      <c r="H75" s="16" t="inlineStr">
        <is>
          <t>Dashboard di Ruolo</t>
        </is>
      </c>
      <c r="I75" s="16" t="inlineStr">
        <is>
          <t>Dashboard Provost (salute accademica, approvazioni pendenti)</t>
        </is>
      </c>
      <c r="J75" s="16" t="inlineStr">
        <is>
          <t>Nuova</t>
        </is>
      </c>
      <c r="K75" s="16" t="inlineStr">
        <is>
          <t>Provost</t>
        </is>
      </c>
      <c r="L75" s="16" t="inlineStr">
        <is>
          <t>T10</t>
        </is>
      </c>
      <c r="M75" s="16" t="inlineStr">
        <is>
          <t>Da fare</t>
        </is>
      </c>
      <c r="N75" s="16" t="n"/>
    </row>
    <row r="76" ht="23.85" customHeight="1" s="13">
      <c r="A76" s="18" t="inlineStr">
        <is>
          <t>BLG-075</t>
        </is>
      </c>
      <c r="B76" s="18" t="inlineStr">
        <is>
          <t>NEW-27</t>
        </is>
      </c>
      <c r="C76" s="18" t="inlineStr">
        <is>
          <t>W3</t>
        </is>
      </c>
      <c r="D76" s="18" t="inlineStr">
        <is>
          <t>A</t>
        </is>
      </c>
      <c r="E76" s="18" t="inlineStr">
        <is>
          <t>S10</t>
        </is>
      </c>
      <c r="F76" s="18" t="inlineStr">
        <is>
          <t>M3</t>
        </is>
      </c>
      <c r="G76" s="16" t="inlineStr">
        <is>
          <t>24. Executive Command &amp; Corporate Governance</t>
        </is>
      </c>
      <c r="H76" s="16" t="inlineStr">
        <is>
          <t>Dashboard di Ruolo</t>
        </is>
      </c>
      <c r="I76" s="16" t="inlineStr">
        <is>
          <t>Dashboard CFO (AR/AP, cash, budget vs actual)</t>
        </is>
      </c>
      <c r="J76" s="16" t="inlineStr">
        <is>
          <t>Nuova</t>
        </is>
      </c>
      <c r="K76" s="16" t="inlineStr">
        <is>
          <t>CFO</t>
        </is>
      </c>
      <c r="L76" s="16" t="inlineStr">
        <is>
          <t>T10/T7</t>
        </is>
      </c>
      <c r="M76" s="16" t="inlineStr">
        <is>
          <t>Da fare</t>
        </is>
      </c>
      <c r="N76" s="16" t="n"/>
    </row>
    <row r="77" ht="23.85" customHeight="1" s="13">
      <c r="A77" s="18" t="inlineStr">
        <is>
          <t>BLG-076</t>
        </is>
      </c>
      <c r="B77" s="18" t="inlineStr">
        <is>
          <t>NEW-27</t>
        </is>
      </c>
      <c r="C77" s="18" t="inlineStr">
        <is>
          <t>W3</t>
        </is>
      </c>
      <c r="D77" s="18" t="inlineStr">
        <is>
          <t>A</t>
        </is>
      </c>
      <c r="E77" s="18" t="inlineStr">
        <is>
          <t>S10</t>
        </is>
      </c>
      <c r="F77" s="18" t="inlineStr">
        <is>
          <t>M3</t>
        </is>
      </c>
      <c r="G77" s="16" t="inlineStr">
        <is>
          <t>24. Executive Command &amp; Corporate Governance</t>
        </is>
      </c>
      <c r="H77" s="16" t="inlineStr">
        <is>
          <t>Organi Collegiali</t>
        </is>
      </c>
      <c r="I77" s="16" t="inlineStr">
        <is>
          <t>Sedute di board/senato con ordine del giorno</t>
        </is>
      </c>
      <c r="J77" s="16" t="inlineStr">
        <is>
          <t>Nuova</t>
        </is>
      </c>
      <c r="K77" s="16" t="inlineStr">
        <is>
          <t>Chairman</t>
        </is>
      </c>
      <c r="L77" s="16" t="inlineStr">
        <is>
          <t>T10</t>
        </is>
      </c>
      <c r="M77" s="16" t="inlineStr">
        <is>
          <t>Da fare</t>
        </is>
      </c>
      <c r="N77" s="16" t="n"/>
    </row>
    <row r="78" ht="23.85" customHeight="1" s="13">
      <c r="A78" s="18" t="inlineStr">
        <is>
          <t>BLG-077</t>
        </is>
      </c>
      <c r="B78" s="18" t="inlineStr">
        <is>
          <t>NEW-27</t>
        </is>
      </c>
      <c r="C78" s="18" t="inlineStr">
        <is>
          <t>W3</t>
        </is>
      </c>
      <c r="D78" s="18" t="inlineStr">
        <is>
          <t>A</t>
        </is>
      </c>
      <c r="E78" s="18" t="inlineStr">
        <is>
          <t>S10</t>
        </is>
      </c>
      <c r="F78" s="18" t="inlineStr">
        <is>
          <t>M3</t>
        </is>
      </c>
      <c r="G78" s="16" t="inlineStr">
        <is>
          <t>24. Executive Command &amp; Corporate Governance</t>
        </is>
      </c>
      <c r="H78" s="16" t="inlineStr">
        <is>
          <t>Organi Collegiali</t>
        </is>
      </c>
      <c r="I78" s="16" t="inlineStr">
        <is>
          <t>Delibere (promulgazione policy, ratifica catalogo, teach-out)</t>
        </is>
      </c>
      <c r="J78" s="16" t="inlineStr">
        <is>
          <t>Nuova</t>
        </is>
      </c>
      <c r="K78" s="16" t="inlineStr">
        <is>
          <t>Chairman / Provost</t>
        </is>
      </c>
      <c r="L78" s="16" t="inlineStr">
        <is>
          <t>T10/T6</t>
        </is>
      </c>
      <c r="M78" s="16" t="inlineStr">
        <is>
          <t>Da fare</t>
        </is>
      </c>
      <c r="N78" s="16" t="n"/>
    </row>
    <row r="79" ht="23.85" customHeight="1" s="13">
      <c r="A79" s="18" t="inlineStr">
        <is>
          <t>BLG-078</t>
        </is>
      </c>
      <c r="B79" s="18" t="inlineStr">
        <is>
          <t>NEW-27</t>
        </is>
      </c>
      <c r="C79" s="18" t="inlineStr">
        <is>
          <t>W3</t>
        </is>
      </c>
      <c r="D79" s="18" t="inlineStr">
        <is>
          <t>A</t>
        </is>
      </c>
      <c r="E79" s="18" t="inlineStr">
        <is>
          <t>S10</t>
        </is>
      </c>
      <c r="F79" s="18" t="inlineStr">
        <is>
          <t>M3</t>
        </is>
      </c>
      <c r="G79" s="16" t="inlineStr">
        <is>
          <t>24. Executive Command &amp; Corporate Governance</t>
        </is>
      </c>
      <c r="H79" s="16" t="inlineStr">
        <is>
          <t>Organi Collegiali</t>
        </is>
      </c>
      <c r="I79" s="16" t="inlineStr">
        <is>
          <t>Azioni di governo tracciate (ratify, freeze, escalate)</t>
        </is>
      </c>
      <c r="J79" s="16" t="inlineStr">
        <is>
          <t>Nuova</t>
        </is>
      </c>
      <c r="K79" s="16" t="inlineStr">
        <is>
          <t>Management</t>
        </is>
      </c>
      <c r="L79" s="16" t="inlineStr">
        <is>
          <t>T10</t>
        </is>
      </c>
      <c r="M79" s="16" t="inlineStr">
        <is>
          <t>Da fare</t>
        </is>
      </c>
      <c r="N79" s="16" t="n"/>
    </row>
    <row r="80" ht="23.85" customHeight="1" s="13">
      <c r="A80" s="18" t="inlineStr">
        <is>
          <t>BLG-079</t>
        </is>
      </c>
      <c r="B80" s="18" t="inlineStr">
        <is>
          <t>NEW-28</t>
        </is>
      </c>
      <c r="C80" s="18" t="inlineStr">
        <is>
          <t>W3</t>
        </is>
      </c>
      <c r="D80" s="18" t="inlineStr">
        <is>
          <t>B</t>
        </is>
      </c>
      <c r="E80" s="18" t="inlineStr">
        <is>
          <t>S10</t>
        </is>
      </c>
      <c r="F80" s="18" t="inlineStr">
        <is>
          <t>M3</t>
        </is>
      </c>
      <c r="G80" s="16" t="inlineStr">
        <is>
          <t>5. AI Governance &amp; LLM Management</t>
        </is>
      </c>
      <c r="H80" s="16" t="inlineStr">
        <is>
          <t>Governance AI</t>
        </is>
      </c>
      <c r="I80" s="16" t="inlineStr">
        <is>
          <t>Eval harness: dataset golden, run, GA gate pre-release</t>
        </is>
      </c>
      <c r="J80" s="16" t="inlineStr">
        <is>
          <t>Nuova</t>
        </is>
      </c>
      <c r="K80" s="16" t="inlineStr">
        <is>
          <t>Admin AI Engineering</t>
        </is>
      </c>
      <c r="L80" s="16" t="inlineStr">
        <is>
          <t>T11 · BOOK-11 agg.</t>
        </is>
      </c>
      <c r="M80" s="16" t="inlineStr">
        <is>
          <t>Da fare</t>
        </is>
      </c>
      <c r="N80" s="16" t="n"/>
    </row>
    <row r="81" ht="23.85" customHeight="1" s="13">
      <c r="A81" s="18" t="inlineStr">
        <is>
          <t>BLG-080</t>
        </is>
      </c>
      <c r="B81" s="18" t="inlineStr">
        <is>
          <t>NEW-28</t>
        </is>
      </c>
      <c r="C81" s="18" t="inlineStr">
        <is>
          <t>W3</t>
        </is>
      </c>
      <c r="D81" s="18" t="inlineStr">
        <is>
          <t>B</t>
        </is>
      </c>
      <c r="E81" s="18" t="inlineStr">
        <is>
          <t>S10</t>
        </is>
      </c>
      <c r="F81" s="18" t="inlineStr">
        <is>
          <t>M3</t>
        </is>
      </c>
      <c r="G81" s="16" t="inlineStr">
        <is>
          <t>5. AI Governance &amp; LLM Management</t>
        </is>
      </c>
      <c r="H81" s="16" t="inlineStr">
        <is>
          <t>Governance AI</t>
        </is>
      </c>
      <c r="I81" s="16" t="inlineStr">
        <is>
          <t>Versionamento e rollout controllato di preset/prompt</t>
        </is>
      </c>
      <c r="J81" s="16" t="inlineStr">
        <is>
          <t>Nuova</t>
        </is>
      </c>
      <c r="K81" s="16" t="inlineStr">
        <is>
          <t>Admin AI Engineering</t>
        </is>
      </c>
      <c r="L81" s="16" t="inlineStr">
        <is>
          <t>T11</t>
        </is>
      </c>
      <c r="M81" s="16" t="inlineStr">
        <is>
          <t>Da fare</t>
        </is>
      </c>
      <c r="N81" s="16" t="n"/>
    </row>
    <row r="82" ht="23.85" customHeight="1" s="13">
      <c r="A82" s="19" t="inlineStr">
        <is>
          <t>BLG-081</t>
        </is>
      </c>
      <c r="B82" s="19" t="inlineStr">
        <is>
          <t>NEW-30</t>
        </is>
      </c>
      <c r="C82" s="19" t="inlineStr">
        <is>
          <t>W4</t>
        </is>
      </c>
      <c r="D82" s="19" t="inlineStr">
        <is>
          <t>A</t>
        </is>
      </c>
      <c r="E82" s="19" t="inlineStr">
        <is>
          <t>S18c</t>
        </is>
      </c>
      <c r="F82" s="19" t="inlineStr">
        <is>
          <t>M3</t>
        </is>
      </c>
      <c r="G82" s="16" t="inlineStr">
        <is>
          <t>22. Finanza &amp; Amministrazione Nativa</t>
        </is>
      </c>
      <c r="H82" s="16" t="inlineStr">
        <is>
          <t>Pianificazione &amp; Controllo (CFO)</t>
        </is>
      </c>
      <c r="I82" s="16" t="inlineStr">
        <is>
          <t>Listini e fee schedule per programma/coorte (versionati)</t>
        </is>
      </c>
      <c r="J82" s="16" t="inlineStr">
        <is>
          <t>Nuova</t>
        </is>
      </c>
      <c r="K82" s="16" t="inlineStr">
        <is>
          <t>CFO</t>
        </is>
      </c>
      <c r="L82" s="16" t="inlineStr">
        <is>
          <t>T7+ · NEW-30</t>
        </is>
      </c>
      <c r="M82" s="16" t="inlineStr">
        <is>
          <t>Da fare</t>
        </is>
      </c>
      <c r="N82" s="16" t="n"/>
    </row>
    <row r="83" ht="23.85" customHeight="1" s="13">
      <c r="A83" s="19" t="inlineStr">
        <is>
          <t>BLG-082</t>
        </is>
      </c>
      <c r="B83" s="19" t="inlineStr">
        <is>
          <t>NEW-30</t>
        </is>
      </c>
      <c r="C83" s="19" t="inlineStr">
        <is>
          <t>W4</t>
        </is>
      </c>
      <c r="D83" s="19" t="inlineStr">
        <is>
          <t>A</t>
        </is>
      </c>
      <c r="E83" s="19" t="inlineStr">
        <is>
          <t>S18c</t>
        </is>
      </c>
      <c r="F83" s="19" t="inlineStr">
        <is>
          <t>M3</t>
        </is>
      </c>
      <c r="G83" s="16" t="inlineStr">
        <is>
          <t>22. Finanza &amp; Amministrazione Nativa</t>
        </is>
      </c>
      <c r="H83" s="16" t="inlineStr">
        <is>
          <t>Pianificazione &amp; Controllo (CFO)</t>
        </is>
      </c>
      <c r="I83" s="16" t="inlineStr">
        <is>
          <t>Revenue forecast guidato dal funnel (pipeline ammissioni → ricavi attesi)</t>
        </is>
      </c>
      <c r="J83" s="16" t="inlineStr">
        <is>
          <t>Nuova</t>
        </is>
      </c>
      <c r="K83" s="16" t="inlineStr">
        <is>
          <t>CFO</t>
        </is>
      </c>
      <c r="L83" s="16" t="inlineStr">
        <is>
          <t>T7+ · NEW-30</t>
        </is>
      </c>
      <c r="M83" s="16" t="inlineStr">
        <is>
          <t>Da fare</t>
        </is>
      </c>
      <c r="N83" s="16" t="n"/>
    </row>
    <row r="84" ht="23.85" customHeight="1" s="13">
      <c r="A84" s="19" t="inlineStr">
        <is>
          <t>BLG-083</t>
        </is>
      </c>
      <c r="B84" s="19" t="inlineStr">
        <is>
          <t>NEW-30</t>
        </is>
      </c>
      <c r="C84" s="19" t="inlineStr">
        <is>
          <t>W4</t>
        </is>
      </c>
      <c r="D84" s="19" t="inlineStr">
        <is>
          <t>A</t>
        </is>
      </c>
      <c r="E84" s="19" t="inlineStr">
        <is>
          <t>S18c</t>
        </is>
      </c>
      <c r="F84" s="19" t="inlineStr">
        <is>
          <t>M3</t>
        </is>
      </c>
      <c r="G84" s="16" t="inlineStr">
        <is>
          <t>22. Finanza &amp; Amministrazione Nativa</t>
        </is>
      </c>
      <c r="H84" s="16" t="inlineStr">
        <is>
          <t>Pianificazione &amp; Controllo (CFO)</t>
        </is>
      </c>
      <c r="I84" s="16" t="inlineStr">
        <is>
          <t>Proiezione cash flow (AR/AP/commitments)</t>
        </is>
      </c>
      <c r="J84" s="16" t="inlineStr">
        <is>
          <t>Nuova</t>
        </is>
      </c>
      <c r="K84" s="16" t="inlineStr">
        <is>
          <t>CFO</t>
        </is>
      </c>
      <c r="L84" s="16" t="inlineStr">
        <is>
          <t>T7+ · NEW-30</t>
        </is>
      </c>
      <c r="M84" s="16" t="inlineStr">
        <is>
          <t>Da fare</t>
        </is>
      </c>
      <c r="N84" s="16" t="n"/>
    </row>
    <row r="85" ht="23.85" customHeight="1" s="13">
      <c r="A85" s="19" t="inlineStr">
        <is>
          <t>BLG-084</t>
        </is>
      </c>
      <c r="B85" s="19" t="inlineStr">
        <is>
          <t>NEW-30</t>
        </is>
      </c>
      <c r="C85" s="19" t="inlineStr">
        <is>
          <t>W4</t>
        </is>
      </c>
      <c r="D85" s="19" t="inlineStr">
        <is>
          <t>A</t>
        </is>
      </c>
      <c r="E85" s="19" t="inlineStr">
        <is>
          <t>S18c</t>
        </is>
      </c>
      <c r="F85" s="19" t="inlineStr">
        <is>
          <t>M3</t>
        </is>
      </c>
      <c r="G85" s="16" t="inlineStr">
        <is>
          <t>22. Finanza &amp; Amministrazione Nativa</t>
        </is>
      </c>
      <c r="H85" s="16" t="inlineStr">
        <is>
          <t>Pianificazione &amp; Controllo (CFO)</t>
        </is>
      </c>
      <c r="I85" s="16" t="inlineStr">
        <is>
          <t>Scenari finanziari what-if (iscritti, pricing, costi authoring)</t>
        </is>
      </c>
      <c r="J85" s="16" t="inlineStr">
        <is>
          <t>Nuova</t>
        </is>
      </c>
      <c r="K85" s="16" t="inlineStr">
        <is>
          <t>CFO</t>
        </is>
      </c>
      <c r="L85" s="16" t="inlineStr">
        <is>
          <t>T7+ · NEW-30</t>
        </is>
      </c>
      <c r="M85" s="16" t="inlineStr">
        <is>
          <t>Da fare</t>
        </is>
      </c>
      <c r="N85" s="16" t="n"/>
    </row>
    <row r="86" ht="23.85" customHeight="1" s="13">
      <c r="A86" s="19" t="inlineStr">
        <is>
          <t>BLG-085</t>
        </is>
      </c>
      <c r="B86" s="19" t="inlineStr">
        <is>
          <t>NEW-30</t>
        </is>
      </c>
      <c r="C86" s="19" t="inlineStr">
        <is>
          <t>W4</t>
        </is>
      </c>
      <c r="D86" s="19" t="inlineStr">
        <is>
          <t>A</t>
        </is>
      </c>
      <c r="E86" s="19" t="inlineStr">
        <is>
          <t>S18c</t>
        </is>
      </c>
      <c r="F86" s="19" t="inlineStr">
        <is>
          <t>M3</t>
        </is>
      </c>
      <c r="G86" s="16" t="inlineStr">
        <is>
          <t>22. Finanza &amp; Amministrazione Nativa</t>
        </is>
      </c>
      <c r="H86" s="16" t="inlineStr">
        <is>
          <t>Pianificazione &amp; Controllo (CFO)</t>
        </is>
      </c>
      <c r="I86" s="16" t="inlineStr">
        <is>
          <t>Chiusura di periodo e variance analysis con azioni</t>
        </is>
      </c>
      <c r="J86" s="16" t="inlineStr">
        <is>
          <t>Nuova</t>
        </is>
      </c>
      <c r="K86" s="16" t="inlineStr">
        <is>
          <t>CFO</t>
        </is>
      </c>
      <c r="L86" s="16" t="inlineStr">
        <is>
          <t>T7+ · NEW-30</t>
        </is>
      </c>
      <c r="M86" s="16" t="inlineStr">
        <is>
          <t>Da fare</t>
        </is>
      </c>
      <c r="N86" s="16" t="n"/>
    </row>
    <row r="87" ht="23.85" customHeight="1" s="13">
      <c r="A87" s="19" t="inlineStr">
        <is>
          <t>BLG-086</t>
        </is>
      </c>
      <c r="B87" s="19" t="inlineStr">
        <is>
          <t>NEW-31</t>
        </is>
      </c>
      <c r="C87" s="19" t="inlineStr">
        <is>
          <t>W4</t>
        </is>
      </c>
      <c r="D87" s="19" t="inlineStr">
        <is>
          <t>B</t>
        </is>
      </c>
      <c r="E87" s="19" t="inlineStr">
        <is>
          <t>S19c</t>
        </is>
      </c>
      <c r="F87" s="19" t="inlineStr">
        <is>
          <t>M3</t>
        </is>
      </c>
      <c r="G87" s="16" t="inlineStr">
        <is>
          <t>5. AI Governance &amp; LLM Management</t>
        </is>
      </c>
      <c r="H87" s="16" t="inlineStr">
        <is>
          <t>Agenti &amp; Orchestrazione</t>
        </is>
      </c>
      <c r="I87" s="16" t="inlineStr">
        <is>
          <t>Agente Student Companion consolidato (missioni, nudging, obiettivi — propose-only)</t>
        </is>
      </c>
      <c r="J87" s="16" t="inlineStr">
        <is>
          <t>Nuova</t>
        </is>
      </c>
      <c r="K87" s="16" t="inlineStr">
        <is>
          <t>Student / Admin AI Eng</t>
        </is>
      </c>
      <c r="L87" s="16" t="inlineStr">
        <is>
          <t>BOOK-10A+ · NEW-31</t>
        </is>
      </c>
      <c r="M87" s="16" t="inlineStr">
        <is>
          <t>Da fare</t>
        </is>
      </c>
      <c r="N87" s="16" t="n"/>
    </row>
    <row r="88" ht="23.85" customHeight="1" s="13">
      <c r="A88" s="19" t="inlineStr">
        <is>
          <t>BLG-087</t>
        </is>
      </c>
      <c r="B88" s="19" t="inlineStr">
        <is>
          <t>NEW-31</t>
        </is>
      </c>
      <c r="C88" s="19" t="inlineStr">
        <is>
          <t>W4</t>
        </is>
      </c>
      <c r="D88" s="19" t="inlineStr">
        <is>
          <t>B</t>
        </is>
      </c>
      <c r="E88" s="19" t="inlineStr">
        <is>
          <t>S19c</t>
        </is>
      </c>
      <c r="F88" s="19" t="inlineStr">
        <is>
          <t>M3</t>
        </is>
      </c>
      <c r="G88" s="16" t="inlineStr">
        <is>
          <t>5. AI Governance &amp; LLM Management</t>
        </is>
      </c>
      <c r="H88" s="16" t="inlineStr">
        <is>
          <t>Agenti &amp; Orchestrazione</t>
        </is>
      </c>
      <c r="I88" s="16" t="inlineStr">
        <is>
          <t>Agente Faculty Assistant (authoring, teaching ops, registro — propose-only)</t>
        </is>
      </c>
      <c r="J88" s="16" t="inlineStr">
        <is>
          <t>Nuova</t>
        </is>
      </c>
      <c r="K88" s="16" t="inlineStr">
        <is>
          <t>Teacher / Admin AI Eng</t>
        </is>
      </c>
      <c r="L88" s="16" t="inlineStr">
        <is>
          <t>BOOK-10A+ · NEW-31</t>
        </is>
      </c>
      <c r="M88" s="16" t="inlineStr">
        <is>
          <t>Da fare</t>
        </is>
      </c>
      <c r="N88" s="16" t="n"/>
    </row>
    <row r="89" ht="23.85" customHeight="1" s="13">
      <c r="A89" s="19" t="inlineStr">
        <is>
          <t>BLG-088</t>
        </is>
      </c>
      <c r="B89" s="19" t="inlineStr">
        <is>
          <t>NEW-31</t>
        </is>
      </c>
      <c r="C89" s="19" t="inlineStr">
        <is>
          <t>W4</t>
        </is>
      </c>
      <c r="D89" s="19" t="inlineStr">
        <is>
          <t>B</t>
        </is>
      </c>
      <c r="E89" s="19" t="inlineStr">
        <is>
          <t>S19c</t>
        </is>
      </c>
      <c r="F89" s="19" t="inlineStr">
        <is>
          <t>M3</t>
        </is>
      </c>
      <c r="G89" s="16" t="inlineStr">
        <is>
          <t>5. AI Governance &amp; LLM Management</t>
        </is>
      </c>
      <c r="H89" s="16" t="inlineStr">
        <is>
          <t>Agenti &amp; Orchestrazione</t>
        </is>
      </c>
      <c r="I89" s="16" t="inlineStr">
        <is>
          <t>Agente Admin Copilot back-office (pratiche, certificati, fascicoli)</t>
        </is>
      </c>
      <c r="J89" s="16" t="inlineStr">
        <is>
          <t>Nuova</t>
        </is>
      </c>
      <c r="K89" s="16" t="inlineStr">
        <is>
          <t>BackOffice / Admin AI Eng</t>
        </is>
      </c>
      <c r="L89" s="16" t="inlineStr">
        <is>
          <t>BOOK-10A+ · NEW-31</t>
        </is>
      </c>
      <c r="M89" s="16" t="inlineStr">
        <is>
          <t>Da fare</t>
        </is>
      </c>
      <c r="N89" s="16" t="n"/>
    </row>
    <row r="90" ht="23.85" customHeight="1" s="13">
      <c r="A90" s="19" t="inlineStr">
        <is>
          <t>BLG-089</t>
        </is>
      </c>
      <c r="B90" s="19" t="inlineStr">
        <is>
          <t>NEW-31</t>
        </is>
      </c>
      <c r="C90" s="19" t="inlineStr">
        <is>
          <t>W4</t>
        </is>
      </c>
      <c r="D90" s="19" t="inlineStr">
        <is>
          <t>B</t>
        </is>
      </c>
      <c r="E90" s="19" t="inlineStr">
        <is>
          <t>S19c</t>
        </is>
      </c>
      <c r="F90" s="19" t="inlineStr">
        <is>
          <t>M3</t>
        </is>
      </c>
      <c r="G90" s="16" t="inlineStr">
        <is>
          <t>5. AI Governance &amp; LLM Management</t>
        </is>
      </c>
      <c r="H90" s="16" t="inlineStr">
        <is>
          <t>Agenti &amp; Orchestrazione</t>
        </is>
      </c>
      <c r="I90" s="16" t="inlineStr">
        <is>
          <t>Agente CFO Analyst (narrative variance/forecast, propose-only)</t>
        </is>
      </c>
      <c r="J90" s="16" t="inlineStr">
        <is>
          <t>Nuova</t>
        </is>
      </c>
      <c r="K90" s="16" t="inlineStr">
        <is>
          <t>CFO / Admin AI Eng</t>
        </is>
      </c>
      <c r="L90" s="16" t="inlineStr">
        <is>
          <t>BOOK-10A+ · NEW-31</t>
        </is>
      </c>
      <c r="M90" s="16" t="inlineStr">
        <is>
          <t>Da fare</t>
        </is>
      </c>
      <c r="N90" s="16" t="n"/>
    </row>
    <row r="91" ht="15" customHeight="1" s="13">
      <c r="A91" s="19" t="inlineStr">
        <is>
          <t>BLG-090</t>
        </is>
      </c>
      <c r="B91" s="19" t="inlineStr">
        <is>
          <t>NEW-32</t>
        </is>
      </c>
      <c r="C91" s="19" t="inlineStr">
        <is>
          <t>W4</t>
        </is>
      </c>
      <c r="D91" s="19" t="inlineStr">
        <is>
          <t>A+B</t>
        </is>
      </c>
      <c r="E91" s="19" t="inlineStr">
        <is>
          <t>S20c</t>
        </is>
      </c>
      <c r="F91" s="19" t="inlineStr">
        <is>
          <t>M3</t>
        </is>
      </c>
      <c r="G91" s="16" t="inlineStr">
        <is>
          <t>18. Operations &amp; Infrastruttura</t>
        </is>
      </c>
      <c r="H91" s="16" t="inlineStr">
        <is>
          <t>Demo &amp; Abilitazione</t>
        </is>
      </c>
      <c r="I91" s="16" t="inlineStr">
        <is>
          <t>Tenant demo con seed data sintetici riproducibili</t>
        </is>
      </c>
      <c r="J91" s="16" t="inlineStr">
        <is>
          <t>Nuova</t>
        </is>
      </c>
      <c r="K91" s="16" t="inlineStr">
        <is>
          <t>System Admin</t>
        </is>
      </c>
      <c r="L91" s="16" t="inlineStr">
        <is>
          <t>NEW-32</t>
        </is>
      </c>
      <c r="M91" s="16" t="inlineStr">
        <is>
          <t>Da fare</t>
        </is>
      </c>
      <c r="N91" s="16" t="n"/>
    </row>
    <row r="92" ht="23.85" customHeight="1" s="13">
      <c r="A92" s="19" t="inlineStr">
        <is>
          <t>BLG-091</t>
        </is>
      </c>
      <c r="B92" s="19" t="inlineStr">
        <is>
          <t>NEW-32</t>
        </is>
      </c>
      <c r="C92" s="19" t="inlineStr">
        <is>
          <t>W4</t>
        </is>
      </c>
      <c r="D92" s="19" t="inlineStr">
        <is>
          <t>A+B</t>
        </is>
      </c>
      <c r="E92" s="19" t="inlineStr">
        <is>
          <t>S20c</t>
        </is>
      </c>
      <c r="F92" s="19" t="inlineStr">
        <is>
          <t>M3</t>
        </is>
      </c>
      <c r="G92" s="16" t="inlineStr">
        <is>
          <t>18. Operations &amp; Infrastruttura</t>
        </is>
      </c>
      <c r="H92" s="16" t="inlineStr">
        <is>
          <t>Demo &amp; Abilitazione</t>
        </is>
      </c>
      <c r="I92" s="16" t="inlineStr">
        <is>
          <t>Scenari dimostrativi guidati per le 9 personas (script E2E automatizzati)</t>
        </is>
      </c>
      <c r="J92" s="16" t="inlineStr">
        <is>
          <t>Nuova</t>
        </is>
      </c>
      <c r="K92" s="16" t="inlineStr">
        <is>
          <t>Tutte</t>
        </is>
      </c>
      <c r="L92" s="16" t="inlineStr">
        <is>
          <t>NEW-32</t>
        </is>
      </c>
      <c r="M92" s="16" t="inlineStr">
        <is>
          <t>Da fare</t>
        </is>
      </c>
      <c r="N92" s="16" t="n"/>
    </row>
    <row r="93" ht="23.85" customHeight="1" s="13">
      <c r="A93" s="19" t="inlineStr">
        <is>
          <t>BLG-092</t>
        </is>
      </c>
      <c r="B93" s="19" t="inlineStr">
        <is>
          <t>NEW-33</t>
        </is>
      </c>
      <c r="C93" s="19" t="inlineStr">
        <is>
          <t>W4</t>
        </is>
      </c>
      <c r="D93" s="19" t="inlineStr">
        <is>
          <t>B</t>
        </is>
      </c>
      <c r="E93" s="19" t="inlineStr">
        <is>
          <t>S21c</t>
        </is>
      </c>
      <c r="F93" s="19" t="inlineStr">
        <is>
          <t>M3</t>
        </is>
      </c>
      <c r="G93" s="16" t="inlineStr">
        <is>
          <t>25. Ricerca &amp; Open Science</t>
        </is>
      </c>
      <c r="H93" s="16" t="inlineStr">
        <is>
          <t>Collaborazione &amp; Compute</t>
        </is>
      </c>
      <c r="I93" s="16" t="inlineStr">
        <is>
          <t>Spazi di collaborazione inter-istituzione (consorzi; riusa federazione e community)</t>
        </is>
      </c>
      <c r="J93" s="16" t="inlineStr">
        <is>
          <t>Nuova</t>
        </is>
      </c>
      <c r="K93" s="16" t="inlineStr">
        <is>
          <t>Researcher</t>
        </is>
      </c>
      <c r="L93" s="16" t="inlineStr">
        <is>
          <t>T13 · NEW-33</t>
        </is>
      </c>
      <c r="M93" s="16" t="inlineStr">
        <is>
          <t>Da fare</t>
        </is>
      </c>
      <c r="N93" s="16" t="n"/>
    </row>
    <row r="94" ht="23.85" customHeight="1" s="13">
      <c r="A94" s="19" t="inlineStr">
        <is>
          <t>BLG-093</t>
        </is>
      </c>
      <c r="B94" s="19" t="inlineStr">
        <is>
          <t>NEW-33</t>
        </is>
      </c>
      <c r="C94" s="19" t="inlineStr">
        <is>
          <t>W4</t>
        </is>
      </c>
      <c r="D94" s="19" t="inlineStr">
        <is>
          <t>B</t>
        </is>
      </c>
      <c r="E94" s="19" t="inlineStr">
        <is>
          <t>S21c</t>
        </is>
      </c>
      <c r="F94" s="19" t="inlineStr">
        <is>
          <t>M3</t>
        </is>
      </c>
      <c r="G94" s="16" t="inlineStr">
        <is>
          <t>25. Ricerca &amp; Open Science</t>
        </is>
      </c>
      <c r="H94" s="16" t="inlineStr">
        <is>
          <t>Collaborazione &amp; Compute</t>
        </is>
      </c>
      <c r="I94" s="16" t="inlineStr">
        <is>
          <t>Compute broker verso HPC/AI Factory esterne (code, quote, attribuzione costi)</t>
        </is>
      </c>
      <c r="J94" s="16" t="inlineStr">
        <is>
          <t>Nuova</t>
        </is>
      </c>
      <c r="K94" s="16" t="inlineStr">
        <is>
          <t>Researcher / Admin AI Eng</t>
        </is>
      </c>
      <c r="L94" s="16" t="inlineStr">
        <is>
          <t>T13 · NEW-33</t>
        </is>
      </c>
      <c r="M94" s="16" t="inlineStr">
        <is>
          <t>Da fare</t>
        </is>
      </c>
      <c r="N94" s="16" t="n"/>
    </row>
    <row r="95" ht="23.85" customHeight="1" s="13">
      <c r="A95" s="19" t="inlineStr">
        <is>
          <t>BLG-094</t>
        </is>
      </c>
      <c r="B95" s="19" t="inlineStr">
        <is>
          <t>NEW-33</t>
        </is>
      </c>
      <c r="C95" s="19" t="inlineStr">
        <is>
          <t>W4</t>
        </is>
      </c>
      <c r="D95" s="19" t="inlineStr">
        <is>
          <t>B</t>
        </is>
      </c>
      <c r="E95" s="19" t="inlineStr">
        <is>
          <t>S21c</t>
        </is>
      </c>
      <c r="F95" s="19" t="inlineStr">
        <is>
          <t>M3</t>
        </is>
      </c>
      <c r="G95" s="16" t="inlineStr">
        <is>
          <t>25. Ricerca &amp; Open Science</t>
        </is>
      </c>
      <c r="H95" s="16" t="inlineStr">
        <is>
          <t>Conoscenza &amp; Federated RAG</t>
        </is>
      </c>
      <c r="I95" s="16" t="inlineStr">
        <is>
          <t>Research knowledge base interna (RAG su tesi, pubblicazioni, brevetti)</t>
        </is>
      </c>
      <c r="J95" s="16" t="inlineStr">
        <is>
          <t>Nuova</t>
        </is>
      </c>
      <c r="K95" s="16" t="inlineStr">
        <is>
          <t>Researcher</t>
        </is>
      </c>
      <c r="L95" s="16" t="inlineStr">
        <is>
          <t>T13 · riusa RAG · NEW-33</t>
        </is>
      </c>
      <c r="M95" s="16" t="inlineStr">
        <is>
          <t>Da fare</t>
        </is>
      </c>
      <c r="N95" s="16" t="n"/>
    </row>
    <row r="96" ht="23.85" customHeight="1" s="13">
      <c r="A96" s="19" t="inlineStr">
        <is>
          <t>BLG-095</t>
        </is>
      </c>
      <c r="B96" s="19" t="inlineStr">
        <is>
          <t>NEW-33</t>
        </is>
      </c>
      <c r="C96" s="19" t="inlineStr">
        <is>
          <t>W4</t>
        </is>
      </c>
      <c r="D96" s="19" t="inlineStr">
        <is>
          <t>B</t>
        </is>
      </c>
      <c r="E96" s="19" t="inlineStr">
        <is>
          <t>S21c</t>
        </is>
      </c>
      <c r="F96" s="19" t="inlineStr">
        <is>
          <t>M3</t>
        </is>
      </c>
      <c r="G96" s="16" t="inlineStr">
        <is>
          <t>25. Ricerca &amp; Open Science</t>
        </is>
      </c>
      <c r="H96" s="16" t="inlineStr">
        <is>
          <t>Conoscenza &amp; Federated RAG</t>
        </is>
      </c>
      <c r="I96" s="16" t="inlineStr">
        <is>
          <t>Federated RAG inter-ateneo a fiducia zero (query senza trasferimento dei dati grezzi)</t>
        </is>
      </c>
      <c r="J96" s="16" t="inlineStr">
        <is>
          <t>Nuova</t>
        </is>
      </c>
      <c r="K96" s="16" t="inlineStr">
        <is>
          <t>Researcher / System Admin</t>
        </is>
      </c>
      <c r="L96" s="16" t="inlineStr">
        <is>
          <t>T13 · federation · NEW-33</t>
        </is>
      </c>
      <c r="M96" s="16" t="inlineStr">
        <is>
          <t>Da fare</t>
        </is>
      </c>
      <c r="N96" s="16" t="n"/>
    </row>
    <row r="97" ht="23.85" customHeight="1" s="13">
      <c r="A97" s="19" t="inlineStr">
        <is>
          <t>BLG-096</t>
        </is>
      </c>
      <c r="B97" s="19" t="inlineStr">
        <is>
          <t>NEW-33</t>
        </is>
      </c>
      <c r="C97" s="19" t="inlineStr">
        <is>
          <t>W4</t>
        </is>
      </c>
      <c r="D97" s="19" t="inlineStr">
        <is>
          <t>B</t>
        </is>
      </c>
      <c r="E97" s="19" t="inlineStr">
        <is>
          <t>S21c</t>
        </is>
      </c>
      <c r="F97" s="19" t="inlineStr">
        <is>
          <t>M3</t>
        </is>
      </c>
      <c r="G97" s="16" t="inlineStr">
        <is>
          <t>25. Ricerca &amp; Open Science</t>
        </is>
      </c>
      <c r="H97" s="16" t="inlineStr">
        <is>
          <t>Conoscenza &amp; Federated RAG</t>
        </is>
      </c>
      <c r="I97" s="16" t="inlineStr">
        <is>
          <t>Assistente di ricerca AI: literature review, estrazione strutturata, citazioni verificabili (propose-only)</t>
        </is>
      </c>
      <c r="J97" s="16" t="inlineStr">
        <is>
          <t>Nuova</t>
        </is>
      </c>
      <c r="K97" s="16" t="inlineStr">
        <is>
          <t>Researcher / Admin AI Eng</t>
        </is>
      </c>
      <c r="L97" s="16" t="inlineStr">
        <is>
          <t>T13 · BOOK-10A+ · NEW-33</t>
        </is>
      </c>
      <c r="M97" s="16" t="inlineStr">
        <is>
          <t>Da fare</t>
        </is>
      </c>
      <c r="N97" s="16" t="n"/>
    </row>
    <row r="98" ht="23.85" customHeight="1" s="13">
      <c r="A98" s="19" t="inlineStr">
        <is>
          <t>BLG-097</t>
        </is>
      </c>
      <c r="B98" s="19" t="inlineStr">
        <is>
          <t>NEW-33</t>
        </is>
      </c>
      <c r="C98" s="19" t="inlineStr">
        <is>
          <t>W4</t>
        </is>
      </c>
      <c r="D98" s="19" t="inlineStr">
        <is>
          <t>B</t>
        </is>
      </c>
      <c r="E98" s="19" t="inlineStr">
        <is>
          <t>S21c</t>
        </is>
      </c>
      <c r="F98" s="19" t="inlineStr">
        <is>
          <t>M3</t>
        </is>
      </c>
      <c r="G98" s="16" t="inlineStr">
        <is>
          <t>25. Ricerca &amp; Open Science</t>
        </is>
      </c>
      <c r="H98" s="16" t="inlineStr">
        <is>
          <t>Grant &amp; Output</t>
        </is>
      </c>
      <c r="I98" s="16" t="inlineStr">
        <is>
          <t>Gestione grant: call, submission, budget di progetto (aggancio T7 budget e KPI T10)</t>
        </is>
      </c>
      <c r="J98" s="16" t="inlineStr">
        <is>
          <t>Nuova</t>
        </is>
      </c>
      <c r="K98" s="16" t="inlineStr">
        <is>
          <t>Researcher / CFO</t>
        </is>
      </c>
      <c r="L98" s="16" t="inlineStr">
        <is>
          <t>T13/T7 · NEW-33</t>
        </is>
      </c>
      <c r="M98" s="16" t="inlineStr">
        <is>
          <t>Da fare</t>
        </is>
      </c>
      <c r="N98" s="16" t="n"/>
    </row>
    <row r="99" ht="23.85" customHeight="1" s="13">
      <c r="A99" s="19" t="inlineStr">
        <is>
          <t>BLG-098</t>
        </is>
      </c>
      <c r="B99" s="19" t="inlineStr">
        <is>
          <t>NEW-33</t>
        </is>
      </c>
      <c r="C99" s="19" t="inlineStr">
        <is>
          <t>W4</t>
        </is>
      </c>
      <c r="D99" s="19" t="inlineStr">
        <is>
          <t>B</t>
        </is>
      </c>
      <c r="E99" s="19" t="inlineStr">
        <is>
          <t>S21c</t>
        </is>
      </c>
      <c r="F99" s="19" t="inlineStr">
        <is>
          <t>M3</t>
        </is>
      </c>
      <c r="G99" s="16" t="inlineStr">
        <is>
          <t>25. Ricerca &amp; Open Science</t>
        </is>
      </c>
      <c r="H99" s="16" t="inlineStr">
        <is>
          <t>Grant &amp; Output</t>
        </is>
      </c>
      <c r="I99" s="16" t="inlineStr">
        <is>
          <t>Registro output di ricerca (pubblicazioni, dataset con DOI, software) collegato a profilo e workload</t>
        </is>
      </c>
      <c r="J99" s="16" t="inlineStr">
        <is>
          <t>Nuova</t>
        </is>
      </c>
      <c r="K99" s="16" t="inlineStr">
        <is>
          <t>Researcher / HR Lead</t>
        </is>
      </c>
      <c r="L99" s="16" t="inlineStr">
        <is>
          <t>T13/T9 · NEW-33</t>
        </is>
      </c>
      <c r="M99" s="16" t="inlineStr">
        <is>
          <t>Da fare</t>
        </is>
      </c>
      <c r="N99" s="16" t="n"/>
    </row>
    <row r="100" ht="23.85" customHeight="1" s="13">
      <c r="A100" s="19" t="inlineStr">
        <is>
          <t>BLG-099</t>
        </is>
      </c>
      <c r="B100" s="19" t="inlineStr">
        <is>
          <t>NEW-33</t>
        </is>
      </c>
      <c r="C100" s="19" t="inlineStr">
        <is>
          <t>W4</t>
        </is>
      </c>
      <c r="D100" s="19" t="inlineStr">
        <is>
          <t>B</t>
        </is>
      </c>
      <c r="E100" s="19" t="inlineStr">
        <is>
          <t>S21c</t>
        </is>
      </c>
      <c r="F100" s="19" t="inlineStr">
        <is>
          <t>M3</t>
        </is>
      </c>
      <c r="G100" s="16" t="inlineStr">
        <is>
          <t>25. Ricerca &amp; Open Science</t>
        </is>
      </c>
      <c r="H100" s="16" t="inlineStr">
        <is>
          <t>Grant &amp; Output</t>
        </is>
      </c>
      <c r="I100" s="16" t="inlineStr">
        <is>
          <t>Compliance di ricerca: DPIA/FRIA di progetto, policy uso responsabile GenAI</t>
        </is>
      </c>
      <c r="J100" s="16" t="inlineStr">
        <is>
          <t>Nuova</t>
        </is>
      </c>
      <c r="K100" s="16" t="inlineStr">
        <is>
          <t>Researcher / Provost</t>
        </is>
      </c>
      <c r="L100" s="16" t="inlineStr">
        <is>
          <t>T13/T6 · NEW-33</t>
        </is>
      </c>
      <c r="M100" s="16" t="inlineStr">
        <is>
          <t>Da fare</t>
        </is>
      </c>
      <c r="N100" s="16" t="n"/>
    </row>
    <row r="101" ht="23.85" customHeight="1" s="13">
      <c r="A101" s="19" t="inlineStr">
        <is>
          <t>BLG-100</t>
        </is>
      </c>
      <c r="B101" s="19" t="inlineStr">
        <is>
          <t>NEW-33</t>
        </is>
      </c>
      <c r="C101" s="19" t="inlineStr">
        <is>
          <t>W4</t>
        </is>
      </c>
      <c r="D101" s="19" t="inlineStr">
        <is>
          <t>B</t>
        </is>
      </c>
      <c r="E101" s="19" t="inlineStr">
        <is>
          <t>S21c</t>
        </is>
      </c>
      <c r="F101" s="19" t="inlineStr">
        <is>
          <t>M3</t>
        </is>
      </c>
      <c r="G101" s="16" t="inlineStr">
        <is>
          <t>25. Ricerca &amp; Open Science</t>
        </is>
      </c>
      <c r="H101" s="16" t="inlineStr">
        <is>
          <t>Workspace di Ricerca</t>
        </is>
      </c>
      <c r="I101" s="16" t="inlineStr">
        <is>
          <t>Progetti di ricerca: anagrafica, team, partner, collegamento grant</t>
        </is>
      </c>
      <c r="J101" s="16" t="inlineStr">
        <is>
          <t>Nuova</t>
        </is>
      </c>
      <c r="K101" s="16" t="inlineStr">
        <is>
          <t>Researcher</t>
        </is>
      </c>
      <c r="L101" s="16" t="inlineStr">
        <is>
          <t>T13 · BOOK-25 · NEW-33</t>
        </is>
      </c>
      <c r="M101" s="16" t="inlineStr">
        <is>
          <t>Da fare</t>
        </is>
      </c>
      <c r="N101" s="16" t="n"/>
    </row>
    <row r="102" ht="23.85" customHeight="1" s="13">
      <c r="A102" s="19" t="inlineStr">
        <is>
          <t>BLG-101</t>
        </is>
      </c>
      <c r="B102" s="19" t="inlineStr">
        <is>
          <t>NEW-33</t>
        </is>
      </c>
      <c r="C102" s="19" t="inlineStr">
        <is>
          <t>W4</t>
        </is>
      </c>
      <c r="D102" s="19" t="inlineStr">
        <is>
          <t>B</t>
        </is>
      </c>
      <c r="E102" s="19" t="inlineStr">
        <is>
          <t>S21c</t>
        </is>
      </c>
      <c r="F102" s="19" t="inlineStr">
        <is>
          <t>M3</t>
        </is>
      </c>
      <c r="G102" s="16" t="inlineStr">
        <is>
          <t>25. Ricerca &amp; Open Science</t>
        </is>
      </c>
      <c r="H102" s="16" t="inlineStr">
        <is>
          <t>Workspace di Ricerca</t>
        </is>
      </c>
      <c r="I102" s="16" t="inlineStr">
        <is>
          <t>Ambienti riproducibili (notebook/IDE con contesto di esecuzione registrato — modello Renku)</t>
        </is>
      </c>
      <c r="J102" s="16" t="inlineStr">
        <is>
          <t>Nuova</t>
        </is>
      </c>
      <c r="K102" s="16" t="inlineStr">
        <is>
          <t>Researcher</t>
        </is>
      </c>
      <c r="L102" s="16" t="inlineStr">
        <is>
          <t>T13 · NEW-33</t>
        </is>
      </c>
      <c r="M102" s="16" t="inlineStr">
        <is>
          <t>Da fare</t>
        </is>
      </c>
      <c r="N102" s="16" t="n"/>
    </row>
    <row r="103" ht="23.85" customHeight="1" s="13">
      <c r="A103" s="19" t="inlineStr">
        <is>
          <t>BLG-102</t>
        </is>
      </c>
      <c r="B103" s="19" t="inlineStr">
        <is>
          <t>NEW-33</t>
        </is>
      </c>
      <c r="C103" s="19" t="inlineStr">
        <is>
          <t>W4</t>
        </is>
      </c>
      <c r="D103" s="19" t="inlineStr">
        <is>
          <t>B</t>
        </is>
      </c>
      <c r="E103" s="19" t="inlineStr">
        <is>
          <t>S21c</t>
        </is>
      </c>
      <c r="F103" s="19" t="inlineStr">
        <is>
          <t>M3</t>
        </is>
      </c>
      <c r="G103" s="16" t="inlineStr">
        <is>
          <t>25. Ricerca &amp; Open Science</t>
        </is>
      </c>
      <c r="H103" s="16" t="inlineStr">
        <is>
          <t>Workspace di Ricerca</t>
        </is>
      </c>
      <c r="I103" s="16" t="inlineStr">
        <is>
          <t>Provenance automatica dei risultati (DAG codice+dati+container, principi FAIR)</t>
        </is>
      </c>
      <c r="J103" s="16" t="inlineStr">
        <is>
          <t>Nuova</t>
        </is>
      </c>
      <c r="K103" s="16" t="inlineStr">
        <is>
          <t>Researcher</t>
        </is>
      </c>
      <c r="L103" s="16" t="inlineStr">
        <is>
          <t>T13 · NEW-33</t>
        </is>
      </c>
      <c r="M103" s="16" t="inlineStr">
        <is>
          <t>Da fare</t>
        </is>
      </c>
      <c r="N103" s="16" t="n"/>
    </row>
    <row r="104" ht="15" customHeight="1" s="13">
      <c r="A104" s="19" t="inlineStr">
        <is>
          <t>BLG-103</t>
        </is>
      </c>
      <c r="B104" s="19" t="inlineStr">
        <is>
          <t>NEW-33</t>
        </is>
      </c>
      <c r="C104" s="19" t="inlineStr">
        <is>
          <t>W4</t>
        </is>
      </c>
      <c r="D104" s="19" t="inlineStr">
        <is>
          <t>B</t>
        </is>
      </c>
      <c r="E104" s="19" t="inlineStr">
        <is>
          <t>S21c</t>
        </is>
      </c>
      <c r="F104" s="19" t="inlineStr">
        <is>
          <t>M3</t>
        </is>
      </c>
      <c r="G104" s="16" t="inlineStr">
        <is>
          <t>25. Ricerca &amp; Open Science</t>
        </is>
      </c>
      <c r="H104" s="16" t="inlineStr">
        <is>
          <t>Workspace di Ricerca</t>
        </is>
      </c>
      <c r="I104" s="16" t="inlineStr">
        <is>
          <t>Registry dataset con versioning, licenze e consensi</t>
        </is>
      </c>
      <c r="J104" s="16" t="inlineStr">
        <is>
          <t>Nuova</t>
        </is>
      </c>
      <c r="K104" s="16" t="inlineStr">
        <is>
          <t>Researcher</t>
        </is>
      </c>
      <c r="L104" s="16" t="inlineStr">
        <is>
          <t>T13 · NEW-33</t>
        </is>
      </c>
      <c r="M104" s="16" t="inlineStr">
        <is>
          <t>Da fare</t>
        </is>
      </c>
      <c r="N104" s="16" t="n"/>
    </row>
    <row r="105" ht="23.85" customHeight="1" s="13">
      <c r="A105" s="19" t="inlineStr">
        <is>
          <t>BLG-104</t>
        </is>
      </c>
      <c r="B105" s="19" t="inlineStr">
        <is>
          <t>NEW-29</t>
        </is>
      </c>
      <c r="C105" s="19" t="inlineStr">
        <is>
          <t>W4</t>
        </is>
      </c>
      <c r="D105" s="19" t="inlineStr">
        <is>
          <t>A+B</t>
        </is>
      </c>
      <c r="E105" s="19" t="inlineStr">
        <is>
          <t>S22c</t>
        </is>
      </c>
      <c r="F105" s="19" t="inlineStr">
        <is>
          <t>M3</t>
        </is>
      </c>
      <c r="G105" s="16" t="inlineStr">
        <is>
          <t>1. Piattaforma &amp; Multi-tenancy</t>
        </is>
      </c>
      <c r="H105" s="16" t="inlineStr">
        <is>
          <t>Guardrail &amp; Sicurezza Tenant</t>
        </is>
      </c>
      <c r="I105" s="16" t="inlineStr">
        <is>
          <t>Policy guardrail per tenant (egress, data residency, allowlist modelli)</t>
        </is>
      </c>
      <c r="J105" s="16" t="inlineStr">
        <is>
          <t>Nuova</t>
        </is>
      </c>
      <c r="K105" s="16" t="inlineStr">
        <is>
          <t>System Admin</t>
        </is>
      </c>
      <c r="L105" s="16" t="inlineStr">
        <is>
          <t>T12 · BOOK-19 agg.</t>
        </is>
      </c>
      <c r="M105" s="16" t="inlineStr">
        <is>
          <t>Da fare</t>
        </is>
      </c>
      <c r="N105" s="16" t="n"/>
    </row>
    <row r="106" ht="15" customHeight="1" s="13">
      <c r="A106" s="19" t="inlineStr">
        <is>
          <t>BLG-105</t>
        </is>
      </c>
      <c r="B106" s="19" t="inlineStr">
        <is>
          <t>NEW-29</t>
        </is>
      </c>
      <c r="C106" s="19" t="inlineStr">
        <is>
          <t>W4</t>
        </is>
      </c>
      <c r="D106" s="19" t="inlineStr">
        <is>
          <t>A+B</t>
        </is>
      </c>
      <c r="E106" s="19" t="inlineStr">
        <is>
          <t>S22c</t>
        </is>
      </c>
      <c r="F106" s="19" t="inlineStr">
        <is>
          <t>M3</t>
        </is>
      </c>
      <c r="G106" s="16" t="inlineStr">
        <is>
          <t>1. Piattaforma &amp; Multi-tenancy</t>
        </is>
      </c>
      <c r="H106" s="16" t="inlineStr">
        <is>
          <t>Guardrail &amp; Sicurezza Tenant</t>
        </is>
      </c>
      <c r="I106" s="16" t="inlineStr">
        <is>
          <t>Audit enforcement guardrail</t>
        </is>
      </c>
      <c r="J106" s="16" t="inlineStr">
        <is>
          <t>Nuova</t>
        </is>
      </c>
      <c r="K106" s="16" t="inlineStr">
        <is>
          <t>System Admin</t>
        </is>
      </c>
      <c r="L106" s="16" t="inlineStr">
        <is>
          <t>T12</t>
        </is>
      </c>
      <c r="M106" s="16" t="inlineStr">
        <is>
          <t>Da fare</t>
        </is>
      </c>
      <c r="N106" s="16" t="n"/>
    </row>
    <row r="107">
      <c r="A107" s="12" t="inlineStr">
        <is>
          <t>BLG-106</t>
        </is>
      </c>
      <c r="B107" s="12" t="inlineStr">
        <is>
          <t>AVA-03</t>
        </is>
      </c>
      <c r="C107" s="12" t="inlineStr">
        <is>
          <t>W5</t>
        </is>
      </c>
      <c r="D107" s="12" t="inlineStr">
        <is>
          <t>A+B</t>
        </is>
      </c>
      <c r="E107" s="12" t="inlineStr">
        <is>
          <t>S23</t>
        </is>
      </c>
      <c r="F107" s="12" t="inlineStr">
        <is>
          <t>M4</t>
        </is>
      </c>
      <c r="G107" s="12" t="inlineStr">
        <is>
          <t>26. Accreditamento &amp; Assicurazione Qualità (DM 1154/2021)</t>
        </is>
      </c>
      <c r="H107" s="12" t="inlineStr">
        <is>
          <t>Requisiti Docenza (Allegati A &amp; D)</t>
        </is>
      </c>
      <c r="I107" s="12" t="inlineStr">
        <is>
          <t>Calcolo automatico Dtot/Ttot (docenti di riferimento richiesti vs disponibili, scalati per numerosità studenti)</t>
        </is>
      </c>
      <c r="J107" s="12" t="inlineStr">
        <is>
          <t>Nuova</t>
        </is>
      </c>
      <c r="K107" s="12" t="inlineStr">
        <is>
          <t>Coordinatore CdS</t>
        </is>
      </c>
      <c r="L107" s="12" t="inlineStr">
        <is>
          <t>T14 · AVA-03</t>
        </is>
      </c>
      <c r="M107" s="12" t="inlineStr">
        <is>
          <t>Fatto</t>
        </is>
      </c>
    </row>
    <row r="108">
      <c r="A108" s="12" t="inlineStr">
        <is>
          <t>BLG-107</t>
        </is>
      </c>
      <c r="B108" s="12" t="inlineStr">
        <is>
          <t>AVA-02</t>
        </is>
      </c>
      <c r="C108" s="12" t="inlineStr">
        <is>
          <t>W5</t>
        </is>
      </c>
      <c r="D108" s="12" t="inlineStr">
        <is>
          <t>A+B</t>
        </is>
      </c>
      <c r="E108" s="12" t="inlineStr">
        <is>
          <t>S23</t>
        </is>
      </c>
      <c r="F108" s="12" t="inlineStr">
        <is>
          <t>M4</t>
        </is>
      </c>
      <c r="G108" s="12" t="inlineStr">
        <is>
          <t>26. Accreditamento &amp; Assicurazione Qualità (DM 1154/2021)</t>
        </is>
      </c>
      <c r="H108" s="12" t="inlineStr">
        <is>
          <t>Requisiti Docenza (Allegati A &amp; D)</t>
        </is>
      </c>
      <c r="I108" s="12" t="inlineStr">
        <is>
          <t>Rule pack Allegato A (minimi per tipo corso/modalità) e numerosità Allegato D, versionati e governati</t>
        </is>
      </c>
      <c r="J108" s="12" t="inlineStr">
        <is>
          <t>Nuova</t>
        </is>
      </c>
      <c r="K108" s="12" t="inlineStr">
        <is>
          <t>PQA</t>
        </is>
      </c>
      <c r="L108" s="12" t="inlineStr">
        <is>
          <t>T14 · AVA-02</t>
        </is>
      </c>
      <c r="M108" s="12" t="inlineStr">
        <is>
          <t>Fatto</t>
        </is>
      </c>
    </row>
    <row r="109">
      <c r="A109" s="12" t="inlineStr">
        <is>
          <t>BLG-108</t>
        </is>
      </c>
      <c r="B109" s="12" t="inlineStr">
        <is>
          <t>AVA-04</t>
        </is>
      </c>
      <c r="C109" s="12" t="inlineStr">
        <is>
          <t>W5</t>
        </is>
      </c>
      <c r="D109" s="12" t="inlineStr">
        <is>
          <t>A+B</t>
        </is>
      </c>
      <c r="E109" s="12" t="inlineStr">
        <is>
          <t>S23</t>
        </is>
      </c>
      <c r="F109" s="12" t="inlineStr">
        <is>
          <t>M4</t>
        </is>
      </c>
      <c r="G109" s="12" t="inlineStr">
        <is>
          <t>26. Accreditamento &amp; Assicurazione Qualità (DM 1154/2021)</t>
        </is>
      </c>
      <c r="H109" s="12" t="inlineStr">
        <is>
          <t>Registro Accreditamento (Art. 3-4)</t>
        </is>
      </c>
      <c r="I109" s="12" t="inlineStr">
        <is>
          <t>Registro accreditamento sedi/corsi: stato, esito, scadenza, durata concessa</t>
        </is>
      </c>
      <c r="J109" s="12" t="inlineStr">
        <is>
          <t>Nuova</t>
        </is>
      </c>
      <c r="K109" s="12" t="inlineStr">
        <is>
          <t>PQA</t>
        </is>
      </c>
      <c r="L109" s="12" t="inlineStr">
        <is>
          <t>T14 · AVA-01/04</t>
        </is>
      </c>
      <c r="M109" s="12" t="inlineStr">
        <is>
          <t>Fatto</t>
        </is>
      </c>
    </row>
    <row r="110">
      <c r="A110" s="12" t="inlineStr">
        <is>
          <t>BLG-109</t>
        </is>
      </c>
      <c r="B110" s="12" t="inlineStr">
        <is>
          <t>AVA-12</t>
        </is>
      </c>
      <c r="C110" s="12" t="inlineStr">
        <is>
          <t>W5</t>
        </is>
      </c>
      <c r="D110" s="12" t="inlineStr">
        <is>
          <t>A+B</t>
        </is>
      </c>
      <c r="E110" s="12" t="inlineStr">
        <is>
          <t>S25</t>
        </is>
      </c>
      <c r="F110" s="12" t="inlineStr">
        <is>
          <t>M4</t>
        </is>
      </c>
      <c r="G110" s="12" t="inlineStr">
        <is>
          <t>26. Accreditamento &amp; Assicurazione Qualità (DM 1154/2021)</t>
        </is>
      </c>
      <c r="H110" s="12" t="inlineStr">
        <is>
          <t>Registro Accreditamento (Art. 3-4)</t>
        </is>
      </c>
      <c r="I110" s="12" t="inlineStr">
        <is>
          <t>Calcolo esito Art. 3 dalla distribuzione dei giudizi (pienamente soddisfacente/soddisfacente/condizionato/non soddisfacente)</t>
        </is>
      </c>
      <c r="J110" s="12" t="inlineStr">
        <is>
          <t>Nuova</t>
        </is>
      </c>
      <c r="K110" s="12" t="inlineStr">
        <is>
          <t>CEV</t>
        </is>
      </c>
      <c r="L110" s="12" t="inlineStr">
        <is>
          <t>T14 · AVA-04/12</t>
        </is>
      </c>
      <c r="M110" s="12" t="inlineStr">
        <is>
          <t>Fatto</t>
        </is>
      </c>
    </row>
    <row r="111">
      <c r="A111" s="12" t="inlineStr">
        <is>
          <t>BLG-110</t>
        </is>
      </c>
      <c r="B111" s="12" t="inlineStr">
        <is>
          <t>AVA-04</t>
        </is>
      </c>
      <c r="C111" s="12" t="inlineStr">
        <is>
          <t>W5</t>
        </is>
      </c>
      <c r="D111" s="12" t="inlineStr">
        <is>
          <t>A+B</t>
        </is>
      </c>
      <c r="E111" s="12" t="inlineStr">
        <is>
          <t>S23</t>
        </is>
      </c>
      <c r="F111" s="12" t="inlineStr">
        <is>
          <t>M4</t>
        </is>
      </c>
      <c r="G111" s="12" t="inlineStr">
        <is>
          <t>26. Accreditamento &amp; Assicurazione Qualità (DM 1154/2021)</t>
        </is>
      </c>
      <c r="H111" s="12" t="inlineStr">
        <is>
          <t>Registro Accreditamento (Art. 3-4)</t>
        </is>
      </c>
      <c r="I111" s="12" t="inlineStr">
        <is>
          <t>Verifica decadenza automatica Art. 4 (mancata attivazione, sospensione biennale, verifica docenza 30/11, ISEF)</t>
        </is>
      </c>
      <c r="J111" s="12" t="inlineStr">
        <is>
          <t>Nuova</t>
        </is>
      </c>
      <c r="K111" s="12" t="inlineStr">
        <is>
          <t>PQA</t>
        </is>
      </c>
      <c r="L111" s="12" t="inlineStr">
        <is>
          <t>T14 · AVA-04</t>
        </is>
      </c>
      <c r="M111" s="12" t="inlineStr">
        <is>
          <t>Fatto</t>
        </is>
      </c>
    </row>
    <row r="112">
      <c r="A112" s="12" t="inlineStr">
        <is>
          <t>BLG-111</t>
        </is>
      </c>
      <c r="B112" s="12" t="inlineStr">
        <is>
          <t>AVA-05</t>
        </is>
      </c>
      <c r="C112" s="12" t="inlineStr">
        <is>
          <t>W5</t>
        </is>
      </c>
      <c r="D112" s="12" t="inlineStr">
        <is>
          <t>A+B</t>
        </is>
      </c>
      <c r="E112" s="12" t="inlineStr">
        <is>
          <t>S24</t>
        </is>
      </c>
      <c r="F112" s="12" t="inlineStr">
        <is>
          <t>M4</t>
        </is>
      </c>
      <c r="G112" s="12" t="inlineStr">
        <is>
          <t>26. Accreditamento &amp; Assicurazione Qualità (DM 1154/2021)</t>
        </is>
      </c>
      <c r="H112" s="12" t="inlineStr">
        <is>
          <t>Indicatori Allegato E</t>
        </is>
      </c>
      <c r="I112" s="12" t="inlineStr">
        <is>
          <t>Catalogo indicatori ministeriali per ambito A-E</t>
        </is>
      </c>
      <c r="J112" s="12" t="inlineStr">
        <is>
          <t>Nuova</t>
        </is>
      </c>
      <c r="K112" s="12" t="inlineStr">
        <is>
          <t>NUV</t>
        </is>
      </c>
      <c r="L112" s="12" t="inlineStr">
        <is>
          <t>T14 · AVA-05</t>
        </is>
      </c>
      <c r="M112" s="12" t="inlineStr">
        <is>
          <t>Fatto</t>
        </is>
      </c>
    </row>
    <row r="113">
      <c r="A113" s="12" t="inlineStr">
        <is>
          <t>BLG-112</t>
        </is>
      </c>
      <c r="B113" s="12" t="inlineStr">
        <is>
          <t>AVA-06</t>
        </is>
      </c>
      <c r="C113" s="12" t="inlineStr">
        <is>
          <t>W5</t>
        </is>
      </c>
      <c r="D113" s="12" t="inlineStr">
        <is>
          <t>A+B</t>
        </is>
      </c>
      <c r="E113" s="12" t="inlineStr">
        <is>
          <t>S24</t>
        </is>
      </c>
      <c r="F113" s="12" t="inlineStr">
        <is>
          <t>M4</t>
        </is>
      </c>
      <c r="G113" s="12" t="inlineStr">
        <is>
          <t>26. Accreditamento &amp; Assicurazione Qualità (DM 1154/2021)</t>
        </is>
      </c>
      <c r="H113" s="12" t="inlineStr">
        <is>
          <t>Indicatori Allegato E</t>
        </is>
      </c>
      <c r="I113" s="12" t="inlineStr">
        <is>
          <t>Calcolo automatico degli indicatori disponibili (% ore docenza t.i., % CFU I anno) da dati reali di corso/docenza</t>
        </is>
      </c>
      <c r="J113" s="12" t="inlineStr">
        <is>
          <t>Nuova</t>
        </is>
      </c>
      <c r="K113" s="12" t="inlineStr">
        <is>
          <t>Coordinatore CdS</t>
        </is>
      </c>
      <c r="L113" s="12" t="inlineStr">
        <is>
          <t>T14 · AVA-06</t>
        </is>
      </c>
      <c r="M113" s="12" t="inlineStr">
        <is>
          <t>Fatto</t>
        </is>
      </c>
    </row>
    <row r="114">
      <c r="A114" s="12" t="inlineStr">
        <is>
          <t>BLG-113</t>
        </is>
      </c>
      <c r="B114" s="12" t="inlineStr">
        <is>
          <t>AVA-07</t>
        </is>
      </c>
      <c r="C114" s="12" t="inlineStr">
        <is>
          <t>W5</t>
        </is>
      </c>
      <c r="D114" s="12" t="inlineStr">
        <is>
          <t>A+B</t>
        </is>
      </c>
      <c r="E114" s="12" t="inlineStr">
        <is>
          <t>S24</t>
        </is>
      </c>
      <c r="F114" s="12" t="inlineStr">
        <is>
          <t>M4</t>
        </is>
      </c>
      <c r="G114" s="12" t="inlineStr">
        <is>
          <t>26. Accreditamento &amp; Assicurazione Qualità (DM 1154/2021)</t>
        </is>
      </c>
      <c r="H114" s="12" t="inlineStr">
        <is>
          <t>SUA-CdS, SMA &amp; Riesame Ciclico</t>
        </is>
      </c>
      <c r="I114" s="12" t="inlineStr">
        <is>
          <t>Tracciamento completezza SUA-CdS (sezioni Amministrazione/Qualità) e scadenzario</t>
        </is>
      </c>
      <c r="J114" s="12" t="inlineStr">
        <is>
          <t>Nuova</t>
        </is>
      </c>
      <c r="K114" s="12" t="inlineStr">
        <is>
          <t>Coordinatore CdS</t>
        </is>
      </c>
      <c r="L114" s="12" t="inlineStr">
        <is>
          <t>T14 · AVA-07</t>
        </is>
      </c>
      <c r="M114" s="12" t="inlineStr">
        <is>
          <t>Fatto</t>
        </is>
      </c>
    </row>
    <row r="115">
      <c r="A115" s="12" t="inlineStr">
        <is>
          <t>BLG-114</t>
        </is>
      </c>
      <c r="B115" s="12" t="inlineStr">
        <is>
          <t>AVA-07</t>
        </is>
      </c>
      <c r="C115" s="12" t="inlineStr">
        <is>
          <t>W5</t>
        </is>
      </c>
      <c r="D115" s="12" t="inlineStr">
        <is>
          <t>A+B</t>
        </is>
      </c>
      <c r="E115" s="12" t="inlineStr">
        <is>
          <t>S24</t>
        </is>
      </c>
      <c r="F115" s="12" t="inlineStr">
        <is>
          <t>M4</t>
        </is>
      </c>
      <c r="G115" s="12" t="inlineStr">
        <is>
          <t>26. Accreditamento &amp; Assicurazione Qualità (DM 1154/2021)</t>
        </is>
      </c>
      <c r="H115" s="12" t="inlineStr">
        <is>
          <t>SUA-CdS, SMA &amp; Riesame Ciclico</t>
        </is>
      </c>
      <c r="I115" s="12" t="inlineStr">
        <is>
          <t>Gestione SMA e Riesame Ciclico con azioni di miglioramento collegate</t>
        </is>
      </c>
      <c r="J115" s="12" t="inlineStr">
        <is>
          <t>Nuova</t>
        </is>
      </c>
      <c r="K115" s="12" t="inlineStr">
        <is>
          <t>PQA</t>
        </is>
      </c>
      <c r="L115" s="12" t="inlineStr">
        <is>
          <t>T14 · AVA-07</t>
        </is>
      </c>
      <c r="M115" s="12" t="inlineStr">
        <is>
          <t>Fatto</t>
        </is>
      </c>
    </row>
    <row r="116">
      <c r="A116" s="12" t="inlineStr">
        <is>
          <t>BLG-115</t>
        </is>
      </c>
      <c r="B116" s="12" t="inlineStr">
        <is>
          <t>AVA-08</t>
        </is>
      </c>
      <c r="C116" s="12" t="inlineStr">
        <is>
          <t>W5</t>
        </is>
      </c>
      <c r="D116" s="12" t="inlineStr">
        <is>
          <t>A+B</t>
        </is>
      </c>
      <c r="E116" s="12" t="inlineStr">
        <is>
          <t>S25</t>
        </is>
      </c>
      <c r="F116" s="12" t="inlineStr">
        <is>
          <t>M4</t>
        </is>
      </c>
      <c r="G116" s="12" t="inlineStr">
        <is>
          <t>26. Accreditamento &amp; Assicurazione Qualità (DM 1154/2021)</t>
        </is>
      </c>
      <c r="H116" s="12" t="inlineStr">
        <is>
          <t>Persona Auditor &amp; CEV</t>
        </is>
      </c>
      <c r="I116" s="12" t="inlineStr">
        <is>
          <t>Accesso esterno Auditor MUR/ANVUR/CEV: concessioni con scope e validità temporale, watermark, audit trail</t>
        </is>
      </c>
      <c r="J116" s="12" t="inlineStr">
        <is>
          <t>Nuova</t>
        </is>
      </c>
      <c r="K116" s="12" t="inlineStr">
        <is>
          <t>System Admin</t>
        </is>
      </c>
      <c r="L116" s="12" t="inlineStr">
        <is>
          <t>T14 · AVA-08</t>
        </is>
      </c>
      <c r="M116" s="12" t="inlineStr">
        <is>
          <t>Fatto</t>
        </is>
      </c>
    </row>
    <row r="117">
      <c r="A117" s="12" t="inlineStr">
        <is>
          <t>BLG-116</t>
        </is>
      </c>
      <c r="B117" s="12" t="inlineStr">
        <is>
          <t>AVA-10</t>
        </is>
      </c>
      <c r="C117" s="12" t="inlineStr">
        <is>
          <t>W5</t>
        </is>
      </c>
      <c r="D117" s="12" t="inlineStr">
        <is>
          <t>A+B</t>
        </is>
      </c>
      <c r="E117" s="12" t="inlineStr">
        <is>
          <t>S25</t>
        </is>
      </c>
      <c r="F117" s="12" t="inlineStr">
        <is>
          <t>M4</t>
        </is>
      </c>
      <c r="G117" s="12" t="inlineStr">
        <is>
          <t>26. Accreditamento &amp; Assicurazione Qualità (DM 1154/2021)</t>
        </is>
      </c>
      <c r="H117" s="12" t="inlineStr">
        <is>
          <t>Persona Auditor &amp; CEV</t>
        </is>
      </c>
      <c r="I117" s="12" t="inlineStr">
        <is>
          <t>Fascicolo di sede/corso per la CEV: punti di attenzione, evidenze collegate, giudizio a 4 fasce</t>
        </is>
      </c>
      <c r="J117" s="12" t="inlineStr">
        <is>
          <t>Nuova</t>
        </is>
      </c>
      <c r="K117" s="12" t="inlineStr">
        <is>
          <t>CEV</t>
        </is>
      </c>
      <c r="L117" s="12" t="inlineStr">
        <is>
          <t>T14 · AVA-10/12</t>
        </is>
      </c>
      <c r="M117" s="12" t="inlineStr">
        <is>
          <t>Fatto</t>
        </is>
      </c>
    </row>
    <row r="118">
      <c r="A118" s="12" t="inlineStr">
        <is>
          <t>BLG-117</t>
        </is>
      </c>
      <c r="B118" s="12" t="inlineStr">
        <is>
          <t>AVA-09</t>
        </is>
      </c>
      <c r="C118" s="12" t="inlineStr">
        <is>
          <t>W5</t>
        </is>
      </c>
      <c r="D118" s="12" t="inlineStr">
        <is>
          <t>A+B</t>
        </is>
      </c>
      <c r="E118" s="12" t="inlineStr">
        <is>
          <t>S25</t>
        </is>
      </c>
      <c r="F118" s="12" t="inlineStr">
        <is>
          <t>M4</t>
        </is>
      </c>
      <c r="G118" s="12" t="inlineStr">
        <is>
          <t>26. Accreditamento &amp; Assicurazione Qualità (DM 1154/2021)</t>
        </is>
      </c>
      <c r="H118" s="12" t="inlineStr">
        <is>
          <t>Evidenze &amp; Snapshot</t>
        </is>
      </c>
      <c r="I118" s="12" t="inlineStr">
        <is>
          <t>Registro evidenze collegate a indicatori e punti di attenzione, con provenienza dati</t>
        </is>
      </c>
      <c r="J118" s="12" t="inlineStr">
        <is>
          <t>Nuova</t>
        </is>
      </c>
      <c r="K118" s="12" t="inlineStr">
        <is>
          <t>PQA</t>
        </is>
      </c>
      <c r="L118" s="12" t="inlineStr">
        <is>
          <t>T14 · AVA-09</t>
        </is>
      </c>
      <c r="M118" s="12" t="inlineStr">
        <is>
          <t>Fatto</t>
        </is>
      </c>
    </row>
    <row r="119">
      <c r="A119" s="12" t="inlineStr">
        <is>
          <t>BLG-118</t>
        </is>
      </c>
      <c r="B119" s="12" t="inlineStr">
        <is>
          <t>AVA-09</t>
        </is>
      </c>
      <c r="C119" s="12" t="inlineStr">
        <is>
          <t>W5</t>
        </is>
      </c>
      <c r="D119" s="12" t="inlineStr">
        <is>
          <t>A+B</t>
        </is>
      </c>
      <c r="E119" s="12" t="inlineStr">
        <is>
          <t>S25</t>
        </is>
      </c>
      <c r="F119" s="12" t="inlineStr">
        <is>
          <t>M4</t>
        </is>
      </c>
      <c r="G119" s="12" t="inlineStr">
        <is>
          <t>26. Accreditamento &amp; Assicurazione Qualità (DM 1154/2021)</t>
        </is>
      </c>
      <c r="H119" s="12" t="inlineStr">
        <is>
          <t>Evidenze &amp; Snapshot</t>
        </is>
      </c>
      <c r="I119" s="12" t="inlineStr">
        <is>
          <t>Snapshot cruscotto immutabili e datati, con firma opzionale</t>
        </is>
      </c>
      <c r="J119" s="12" t="inlineStr">
        <is>
          <t>Nuova</t>
        </is>
      </c>
      <c r="K119" s="12" t="inlineStr">
        <is>
          <t>Auditor</t>
        </is>
      </c>
      <c r="L119" s="12" t="inlineStr">
        <is>
          <t>T14 · AVA-09</t>
        </is>
      </c>
      <c r="M119" s="12" t="inlineStr">
        <is>
          <t>Fatto</t>
        </is>
      </c>
    </row>
    <row r="120">
      <c r="A120" s="12" t="inlineStr">
        <is>
          <t>BLG-119</t>
        </is>
      </c>
      <c r="B120" s="12" t="inlineStr">
        <is>
          <t>AVA-11</t>
        </is>
      </c>
      <c r="C120" s="12" t="inlineStr">
        <is>
          <t>W5</t>
        </is>
      </c>
      <c r="D120" s="12" t="inlineStr">
        <is>
          <t>A+B</t>
        </is>
      </c>
      <c r="E120" s="12" t="inlineStr">
        <is>
          <t>S25</t>
        </is>
      </c>
      <c r="F120" s="12" t="inlineStr">
        <is>
          <t>M4</t>
        </is>
      </c>
      <c r="G120" s="12" t="inlineStr">
        <is>
          <t>26. Accreditamento &amp; Assicurazione Qualità (DM 1154/2021)</t>
        </is>
      </c>
      <c r="H120" s="12" t="inlineStr">
        <is>
          <t>Alert &amp; Cruscotti</t>
        </is>
      </c>
      <c r="I120" s="12" t="inlineStr">
        <is>
          <t>Motore di alert/early-warning (10 codici del catalogo §7, severità, destinatari per ruolo)</t>
        </is>
      </c>
      <c r="J120" s="12" t="inlineStr">
        <is>
          <t>Nuova</t>
        </is>
      </c>
      <c r="K120" s="12" t="inlineStr">
        <is>
          <t>PQA</t>
        </is>
      </c>
      <c r="L120" s="12" t="inlineStr">
        <is>
          <t>T14 · AVA-11</t>
        </is>
      </c>
      <c r="M120" s="12" t="inlineStr">
        <is>
          <t>Fatto</t>
        </is>
      </c>
    </row>
    <row r="121">
      <c r="A121" s="12" t="inlineStr">
        <is>
          <t>BLG-120</t>
        </is>
      </c>
      <c r="B121" s="12" t="inlineStr">
        <is>
          <t>AVA-10</t>
        </is>
      </c>
      <c r="C121" s="12" t="inlineStr">
        <is>
          <t>W5</t>
        </is>
      </c>
      <c r="D121" s="12" t="inlineStr">
        <is>
          <t>A+B</t>
        </is>
      </c>
      <c r="E121" s="12" t="inlineStr">
        <is>
          <t>S25</t>
        </is>
      </c>
      <c r="F121" s="12" t="inlineStr">
        <is>
          <t>M4</t>
        </is>
      </c>
      <c r="G121" s="12" t="inlineStr">
        <is>
          <t>26. Accreditamento &amp; Assicurazione Qualità (DM 1154/2021)</t>
        </is>
      </c>
      <c r="H121" s="12" t="inlineStr">
        <is>
          <t>Alert &amp; Cruscotti</t>
        </is>
      </c>
      <c r="I121" s="12" t="inlineStr">
        <is>
          <t>Cruscotti dedicati Auditor, PQA/NUV, Coordinatore CdS</t>
        </is>
      </c>
      <c r="J121" s="12" t="inlineStr">
        <is>
          <t>Nuova</t>
        </is>
      </c>
      <c r="K121" s="12" t="inlineStr">
        <is>
          <t>Auditor</t>
        </is>
      </c>
      <c r="L121" s="12" t="inlineStr">
        <is>
          <t>T14 · AVA-10</t>
        </is>
      </c>
      <c r="M121" s="12" t="inlineStr">
        <is>
          <t>Fatto</t>
        </is>
      </c>
    </row>
  </sheetData>
  <autoFilter ref="A1:N106"/>
  <dataValidations count="1">
    <dataValidation sqref="M2:M106" showDropDown="0" showInputMessage="0" showErrorMessage="0" allowBlank="0" type="list" errorStyle="stop" operator="between">
      <formula1>"Da fare,In corso,In review,Fatto,Bloccato"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" customWidth="1" style="12" min="1" max="1"/>
    <col width="7" customWidth="1" style="12" min="2" max="2"/>
    <col width="8" customWidth="1" style="12" min="3" max="3"/>
    <col width="10" customWidth="1" style="12" min="4" max="5"/>
    <col width="13" customWidth="1" style="12" min="6" max="6"/>
    <col width="8" customWidth="1" style="12" min="7" max="7"/>
    <col width="15" customWidth="1" style="12" min="8" max="8"/>
  </cols>
  <sheetData>
    <row r="1" ht="15" customHeight="1" s="13">
      <c r="A1" s="20" t="inlineStr">
        <is>
          <t>Sprint</t>
        </is>
      </c>
      <c r="B1" s="20" t="inlineStr">
        <is>
          <t>Wave</t>
        </is>
      </c>
      <c r="C1" s="20" t="inlineStr">
        <is>
          <t>Squad</t>
        </is>
      </c>
      <c r="D1" s="20" t="inlineStr">
        <is>
          <t>Sprint cal.</t>
        </is>
      </c>
      <c r="E1" s="20" t="inlineStr">
        <is>
          <t>Milestone</t>
        </is>
      </c>
      <c r="F1" s="20" t="inlineStr">
        <is>
          <t>Feature totali</t>
        </is>
      </c>
      <c r="G1" s="20" t="inlineStr">
        <is>
          <t>Fatte</t>
        </is>
      </c>
      <c r="H1" s="20" t="inlineStr">
        <is>
          <t>% completamento</t>
        </is>
      </c>
    </row>
    <row r="2" ht="15" customHeight="1" s="13">
      <c r="A2" s="21" t="inlineStr">
        <is>
          <t>NEW-17f</t>
        </is>
      </c>
      <c r="B2" s="21" t="inlineStr">
        <is>
          <t>W0</t>
        </is>
      </c>
      <c r="C2" s="21" t="inlineStr">
        <is>
          <t>A+B</t>
        </is>
      </c>
      <c r="D2" s="21" t="inlineStr">
        <is>
          <t>S1</t>
        </is>
      </c>
      <c r="E2" s="21" t="inlineStr">
        <is>
          <t>—</t>
        </is>
      </c>
      <c r="F2" s="21">
        <f>COUNTIF('Backlog Target'!$B$2:$B$100,A2)</f>
        <v/>
      </c>
      <c r="G2" s="21">
        <f>COUNTIFS('Backlog Target'!$B$2:$B$100,A2,'Backlog Target'!$M$2:$M$100,"Fatto")</f>
        <v/>
      </c>
      <c r="H2" s="22">
        <f>IF(F2=0,"—",G2/F2)</f>
        <v/>
      </c>
    </row>
    <row r="3" ht="15" customHeight="1" s="13">
      <c r="A3" s="21" t="inlineStr">
        <is>
          <t>NEW-17a</t>
        </is>
      </c>
      <c r="B3" s="21" t="inlineStr">
        <is>
          <t>W1</t>
        </is>
      </c>
      <c r="C3" s="21" t="inlineStr">
        <is>
          <t>A</t>
        </is>
      </c>
      <c r="D3" s="21" t="inlineStr">
        <is>
          <t>S2</t>
        </is>
      </c>
      <c r="E3" s="21" t="inlineStr">
        <is>
          <t>M1</t>
        </is>
      </c>
      <c r="F3" s="21">
        <f>COUNTIF('Backlog Target'!$B$2:$B$100,A3)</f>
        <v/>
      </c>
      <c r="G3" s="21">
        <f>COUNTIFS('Backlog Target'!$B$2:$B$100,A3,'Backlog Target'!$M$2:$M$100,"Fatto")</f>
        <v/>
      </c>
      <c r="H3" s="22">
        <f>IF(F3=0,"—",G3/F3)</f>
        <v/>
      </c>
    </row>
    <row r="4" ht="15" customHeight="1" s="13">
      <c r="A4" s="21" t="inlineStr">
        <is>
          <t>NEW-17b</t>
        </is>
      </c>
      <c r="B4" s="21" t="inlineStr">
        <is>
          <t>W1</t>
        </is>
      </c>
      <c r="C4" s="21" t="inlineStr">
        <is>
          <t>B</t>
        </is>
      </c>
      <c r="D4" s="21" t="inlineStr">
        <is>
          <t>S2</t>
        </is>
      </c>
      <c r="E4" s="21" t="inlineStr">
        <is>
          <t>M1</t>
        </is>
      </c>
      <c r="F4" s="21">
        <f>COUNTIF('Backlog Target'!$B$2:$B$100,A4)</f>
        <v/>
      </c>
      <c r="G4" s="21">
        <f>COUNTIFS('Backlog Target'!$B$2:$B$100,A4,'Backlog Target'!$M$2:$M$100,"Fatto")</f>
        <v/>
      </c>
      <c r="H4" s="22">
        <f>IF(F4=0,"—",G4/F4)</f>
        <v/>
      </c>
    </row>
    <row r="5" ht="15" customHeight="1" s="13">
      <c r="A5" s="21" t="inlineStr">
        <is>
          <t>NEW-19</t>
        </is>
      </c>
      <c r="B5" s="21" t="inlineStr">
        <is>
          <t>W1</t>
        </is>
      </c>
      <c r="C5" s="21" t="inlineStr">
        <is>
          <t>A</t>
        </is>
      </c>
      <c r="D5" s="21" t="inlineStr">
        <is>
          <t>S3</t>
        </is>
      </c>
      <c r="E5" s="21" t="inlineStr">
        <is>
          <t>M1</t>
        </is>
      </c>
      <c r="F5" s="21">
        <f>COUNTIF('Backlog Target'!$B$2:$B$100,A5)</f>
        <v/>
      </c>
      <c r="G5" s="21">
        <f>COUNTIFS('Backlog Target'!$B$2:$B$100,A5,'Backlog Target'!$M$2:$M$100,"Fatto")</f>
        <v/>
      </c>
      <c r="H5" s="22">
        <f>IF(F5=0,"—",G5/F5)</f>
        <v/>
      </c>
    </row>
    <row r="6" ht="15" customHeight="1" s="13">
      <c r="A6" s="21" t="inlineStr">
        <is>
          <t>NEW-17c</t>
        </is>
      </c>
      <c r="B6" s="21" t="inlineStr">
        <is>
          <t>W1</t>
        </is>
      </c>
      <c r="C6" s="21" t="inlineStr">
        <is>
          <t>B</t>
        </is>
      </c>
      <c r="D6" s="21" t="inlineStr">
        <is>
          <t>S3</t>
        </is>
      </c>
      <c r="E6" s="21" t="inlineStr">
        <is>
          <t>M1</t>
        </is>
      </c>
      <c r="F6" s="21">
        <f>COUNTIF('Backlog Target'!$B$2:$B$100,A6)</f>
        <v/>
      </c>
      <c r="G6" s="21">
        <f>COUNTIFS('Backlog Target'!$B$2:$B$100,A6,'Backlog Target'!$M$2:$M$100,"Fatto")</f>
        <v/>
      </c>
      <c r="H6" s="22">
        <f>IF(F6=0,"—",G6/F6)</f>
        <v/>
      </c>
    </row>
    <row r="7" ht="15" customHeight="1" s="13">
      <c r="A7" s="21" t="inlineStr">
        <is>
          <t>NEW-18</t>
        </is>
      </c>
      <c r="B7" s="21" t="inlineStr">
        <is>
          <t>W1</t>
        </is>
      </c>
      <c r="C7" s="21" t="inlineStr">
        <is>
          <t>A</t>
        </is>
      </c>
      <c r="D7" s="21" t="inlineStr">
        <is>
          <t>S4-S5</t>
        </is>
      </c>
      <c r="E7" s="21" t="inlineStr">
        <is>
          <t>M1</t>
        </is>
      </c>
      <c r="F7" s="21">
        <f>COUNTIF('Backlog Target'!$B$2:$B$100,A7)</f>
        <v/>
      </c>
      <c r="G7" s="21">
        <f>COUNTIFS('Backlog Target'!$B$2:$B$100,A7,'Backlog Target'!$M$2:$M$100,"Fatto")</f>
        <v/>
      </c>
      <c r="H7" s="22">
        <f>IF(F7=0,"—",G7/F7)</f>
        <v/>
      </c>
    </row>
    <row r="8" ht="15" customHeight="1" s="13">
      <c r="A8" s="21" t="inlineStr">
        <is>
          <t>NEW-17d</t>
        </is>
      </c>
      <c r="B8" s="21" t="inlineStr">
        <is>
          <t>W1</t>
        </is>
      </c>
      <c r="C8" s="21" t="inlineStr">
        <is>
          <t>B</t>
        </is>
      </c>
      <c r="D8" s="21" t="inlineStr">
        <is>
          <t>S4-S5</t>
        </is>
      </c>
      <c r="E8" s="21" t="inlineStr">
        <is>
          <t>M1</t>
        </is>
      </c>
      <c r="F8" s="21">
        <f>COUNTIF('Backlog Target'!$B$2:$B$100,A8)</f>
        <v/>
      </c>
      <c r="G8" s="21">
        <f>COUNTIFS('Backlog Target'!$B$2:$B$100,A8,'Backlog Target'!$M$2:$M$100,"Fatto")</f>
        <v/>
      </c>
      <c r="H8" s="22">
        <f>IF(F8=0,"—",G8/F8)</f>
        <v/>
      </c>
    </row>
    <row r="9" ht="15" customHeight="1" s="13">
      <c r="A9" s="21" t="inlineStr">
        <is>
          <t>NEW-20a</t>
        </is>
      </c>
      <c r="B9" s="21" t="inlineStr">
        <is>
          <t>W2</t>
        </is>
      </c>
      <c r="C9" s="21" t="inlineStr">
        <is>
          <t>A</t>
        </is>
      </c>
      <c r="D9" s="21" t="inlineStr">
        <is>
          <t>S6</t>
        </is>
      </c>
      <c r="E9" s="21" t="inlineStr">
        <is>
          <t>M2</t>
        </is>
      </c>
      <c r="F9" s="21">
        <f>COUNTIF('Backlog Target'!$B$2:$B$100,A9)</f>
        <v/>
      </c>
      <c r="G9" s="21">
        <f>COUNTIFS('Backlog Target'!$B$2:$B$100,A9,'Backlog Target'!$M$2:$M$100,"Fatto")</f>
        <v/>
      </c>
      <c r="H9" s="22">
        <f>IF(F9=0,"—",G9/F9)</f>
        <v/>
      </c>
    </row>
    <row r="10" ht="15" customHeight="1" s="13">
      <c r="A10" s="21" t="inlineStr">
        <is>
          <t>NEW-22</t>
        </is>
      </c>
      <c r="B10" s="21" t="inlineStr">
        <is>
          <t>W2</t>
        </is>
      </c>
      <c r="C10" s="21" t="inlineStr">
        <is>
          <t>B</t>
        </is>
      </c>
      <c r="D10" s="21" t="inlineStr">
        <is>
          <t>S6</t>
        </is>
      </c>
      <c r="E10" s="21" t="inlineStr">
        <is>
          <t>M2</t>
        </is>
      </c>
      <c r="F10" s="21">
        <f>COUNTIF('Backlog Target'!$B$2:$B$100,A10)</f>
        <v/>
      </c>
      <c r="G10" s="21">
        <f>COUNTIFS('Backlog Target'!$B$2:$B$100,A10,'Backlog Target'!$M$2:$M$100,"Fatto")</f>
        <v/>
      </c>
      <c r="H10" s="22">
        <f>IF(F10=0,"—",G10/F10)</f>
        <v/>
      </c>
    </row>
    <row r="11" ht="15" customHeight="1" s="13">
      <c r="A11" s="21" t="inlineStr">
        <is>
          <t>NEW-20b</t>
        </is>
      </c>
      <c r="B11" s="21" t="inlineStr">
        <is>
          <t>W2</t>
        </is>
      </c>
      <c r="C11" s="21" t="inlineStr">
        <is>
          <t>A</t>
        </is>
      </c>
      <c r="D11" s="21" t="inlineStr">
        <is>
          <t>S7</t>
        </is>
      </c>
      <c r="E11" s="21" t="inlineStr">
        <is>
          <t>M2</t>
        </is>
      </c>
      <c r="F11" s="21">
        <f>COUNTIF('Backlog Target'!$B$2:$B$100,A11)</f>
        <v/>
      </c>
      <c r="G11" s="21">
        <f>COUNTIFS('Backlog Target'!$B$2:$B$100,A11,'Backlog Target'!$M$2:$M$100,"Fatto")</f>
        <v/>
      </c>
      <c r="H11" s="22">
        <f>IF(F11=0,"—",G11/F11)</f>
        <v/>
      </c>
    </row>
    <row r="12" ht="15" customHeight="1" s="13">
      <c r="A12" s="21" t="inlineStr">
        <is>
          <t>NEW-23</t>
        </is>
      </c>
      <c r="B12" s="21" t="inlineStr">
        <is>
          <t>W2</t>
        </is>
      </c>
      <c r="C12" s="21" t="inlineStr">
        <is>
          <t>B</t>
        </is>
      </c>
      <c r="D12" s="21" t="inlineStr">
        <is>
          <t>S7</t>
        </is>
      </c>
      <c r="E12" s="21" t="inlineStr">
        <is>
          <t>M2</t>
        </is>
      </c>
      <c r="F12" s="21">
        <f>COUNTIF('Backlog Target'!$B$2:$B$100,A12)</f>
        <v/>
      </c>
      <c r="G12" s="21">
        <f>COUNTIFS('Backlog Target'!$B$2:$B$100,A12,'Backlog Target'!$M$2:$M$100,"Fatto")</f>
        <v/>
      </c>
      <c r="H12" s="22">
        <f>IF(F12=0,"—",G12/F12)</f>
        <v/>
      </c>
    </row>
    <row r="13" ht="15" customHeight="1" s="13">
      <c r="A13" s="21" t="inlineStr">
        <is>
          <t>NEW-21</t>
        </is>
      </c>
      <c r="B13" s="21" t="inlineStr">
        <is>
          <t>W2</t>
        </is>
      </c>
      <c r="C13" s="21" t="inlineStr">
        <is>
          <t>A</t>
        </is>
      </c>
      <c r="D13" s="21" t="inlineStr">
        <is>
          <t>S8</t>
        </is>
      </c>
      <c r="E13" s="21" t="inlineStr">
        <is>
          <t>M2</t>
        </is>
      </c>
      <c r="F13" s="21">
        <f>COUNTIF('Backlog Target'!$B$2:$B$100,A13)</f>
        <v/>
      </c>
      <c r="G13" s="21">
        <f>COUNTIFS('Backlog Target'!$B$2:$B$100,A13,'Backlog Target'!$M$2:$M$100,"Fatto")</f>
        <v/>
      </c>
      <c r="H13" s="22">
        <f>IF(F13=0,"—",G13/F13)</f>
        <v/>
      </c>
    </row>
    <row r="14" ht="15" customHeight="1" s="13">
      <c r="A14" s="21" t="inlineStr">
        <is>
          <t>NEW-24</t>
        </is>
      </c>
      <c r="B14" s="21" t="inlineStr">
        <is>
          <t>W2</t>
        </is>
      </c>
      <c r="C14" s="21" t="inlineStr">
        <is>
          <t>B</t>
        </is>
      </c>
      <c r="D14" s="21" t="inlineStr">
        <is>
          <t>S8</t>
        </is>
      </c>
      <c r="E14" s="21" t="inlineStr">
        <is>
          <t>M2</t>
        </is>
      </c>
      <c r="F14" s="21">
        <f>COUNTIF('Backlog Target'!$B$2:$B$100,A14)</f>
        <v/>
      </c>
      <c r="G14" s="21">
        <f>COUNTIFS('Backlog Target'!$B$2:$B$100,A14,'Backlog Target'!$M$2:$M$100,"Fatto")</f>
        <v/>
      </c>
      <c r="H14" s="22">
        <f>IF(F14=0,"—",G14/F14)</f>
        <v/>
      </c>
    </row>
    <row r="15" ht="15" customHeight="1" s="13">
      <c r="A15" s="21" t="inlineStr">
        <is>
          <t>NEW-25</t>
        </is>
      </c>
      <c r="B15" s="21" t="inlineStr">
        <is>
          <t>W3</t>
        </is>
      </c>
      <c r="C15" s="21" t="inlineStr">
        <is>
          <t>A</t>
        </is>
      </c>
      <c r="D15" s="21" t="inlineStr">
        <is>
          <t>S9</t>
        </is>
      </c>
      <c r="E15" s="21" t="inlineStr">
        <is>
          <t>M3</t>
        </is>
      </c>
      <c r="F15" s="21">
        <f>COUNTIF('Backlog Target'!$B$2:$B$100,A15)</f>
        <v/>
      </c>
      <c r="G15" s="21">
        <f>COUNTIFS('Backlog Target'!$B$2:$B$100,A15,'Backlog Target'!$M$2:$M$100,"Fatto")</f>
        <v/>
      </c>
      <c r="H15" s="22">
        <f>IF(F15=0,"—",G15/F15)</f>
        <v/>
      </c>
    </row>
    <row r="16" ht="15" customHeight="1" s="13">
      <c r="A16" s="21" t="inlineStr">
        <is>
          <t>NEW-26</t>
        </is>
      </c>
      <c r="B16" s="21" t="inlineStr">
        <is>
          <t>W3</t>
        </is>
      </c>
      <c r="C16" s="21" t="inlineStr">
        <is>
          <t>B</t>
        </is>
      </c>
      <c r="D16" s="21" t="inlineStr">
        <is>
          <t>S9</t>
        </is>
      </c>
      <c r="E16" s="21" t="inlineStr">
        <is>
          <t>M3</t>
        </is>
      </c>
      <c r="F16" s="21">
        <f>COUNTIF('Backlog Target'!$B$2:$B$100,A16)</f>
        <v/>
      </c>
      <c r="G16" s="21">
        <f>COUNTIFS('Backlog Target'!$B$2:$B$100,A16,'Backlog Target'!$M$2:$M$100,"Fatto")</f>
        <v/>
      </c>
      <c r="H16" s="22">
        <f>IF(F16=0,"—",G16/F16)</f>
        <v/>
      </c>
    </row>
    <row r="17" ht="15" customHeight="1" s="13">
      <c r="A17" s="21" t="inlineStr">
        <is>
          <t>NEW-27</t>
        </is>
      </c>
      <c r="B17" s="21" t="inlineStr">
        <is>
          <t>W3</t>
        </is>
      </c>
      <c r="C17" s="21" t="inlineStr">
        <is>
          <t>A</t>
        </is>
      </c>
      <c r="D17" s="21" t="inlineStr">
        <is>
          <t>S10</t>
        </is>
      </c>
      <c r="E17" s="21" t="inlineStr">
        <is>
          <t>M3</t>
        </is>
      </c>
      <c r="F17" s="21">
        <f>COUNTIF('Backlog Target'!$B$2:$B$100,A17)</f>
        <v/>
      </c>
      <c r="G17" s="21">
        <f>COUNTIFS('Backlog Target'!$B$2:$B$100,A17,'Backlog Target'!$M$2:$M$100,"Fatto")</f>
        <v/>
      </c>
      <c r="H17" s="22">
        <f>IF(F17=0,"—",G17/F17)</f>
        <v/>
      </c>
    </row>
    <row r="18" ht="15" customHeight="1" s="13">
      <c r="A18" s="21" t="inlineStr">
        <is>
          <t>NEW-28</t>
        </is>
      </c>
      <c r="B18" s="21" t="inlineStr">
        <is>
          <t>W3</t>
        </is>
      </c>
      <c r="C18" s="21" t="inlineStr">
        <is>
          <t>B</t>
        </is>
      </c>
      <c r="D18" s="21" t="inlineStr">
        <is>
          <t>S10</t>
        </is>
      </c>
      <c r="E18" s="21" t="inlineStr">
        <is>
          <t>M3</t>
        </is>
      </c>
      <c r="F18" s="21">
        <f>COUNTIF('Backlog Target'!$B$2:$B$100,A18)</f>
        <v/>
      </c>
      <c r="G18" s="21">
        <f>COUNTIFS('Backlog Target'!$B$2:$B$100,A18,'Backlog Target'!$M$2:$M$100,"Fatto")</f>
        <v/>
      </c>
      <c r="H18" s="22">
        <f>IF(F18=0,"—",G18/F18)</f>
        <v/>
      </c>
    </row>
    <row r="19" ht="15" customHeight="1" s="13">
      <c r="A19" s="21" t="inlineStr">
        <is>
          <t>NEW-30</t>
        </is>
      </c>
      <c r="B19" s="21" t="inlineStr">
        <is>
          <t>W4</t>
        </is>
      </c>
      <c r="C19" s="21" t="inlineStr">
        <is>
          <t>A</t>
        </is>
      </c>
      <c r="D19" s="21" t="inlineStr">
        <is>
          <t>S18c</t>
        </is>
      </c>
      <c r="E19" s="21" t="inlineStr">
        <is>
          <t>M3</t>
        </is>
      </c>
      <c r="F19" s="21">
        <f>COUNTIF('Backlog Target'!$B$2:$B$100,A19)</f>
        <v/>
      </c>
      <c r="G19" s="21">
        <f>COUNTIFS('Backlog Target'!$B$2:$B$100,A19,'Backlog Target'!$M$2:$M$100,"Fatto")</f>
        <v/>
      </c>
      <c r="H19" s="22">
        <f>IF(F19=0,"—",G19/F19)</f>
        <v/>
      </c>
    </row>
    <row r="20" ht="15" customHeight="1" s="13">
      <c r="A20" s="21" t="inlineStr">
        <is>
          <t>NEW-31</t>
        </is>
      </c>
      <c r="B20" s="21" t="inlineStr">
        <is>
          <t>W4</t>
        </is>
      </c>
      <c r="C20" s="21" t="inlineStr">
        <is>
          <t>B</t>
        </is>
      </c>
      <c r="D20" s="21" t="inlineStr">
        <is>
          <t>S19c</t>
        </is>
      </c>
      <c r="E20" s="21" t="inlineStr">
        <is>
          <t>M3</t>
        </is>
      </c>
      <c r="F20" s="21">
        <f>COUNTIF('Backlog Target'!$B$2:$B$100,A20)</f>
        <v/>
      </c>
      <c r="G20" s="21">
        <f>COUNTIFS('Backlog Target'!$B$2:$B$100,A20,'Backlog Target'!$M$2:$M$100,"Fatto")</f>
        <v/>
      </c>
      <c r="H20" s="22">
        <f>IF(F20=0,"—",G20/F20)</f>
        <v/>
      </c>
    </row>
    <row r="21" ht="15" customHeight="1" s="13">
      <c r="A21" s="21" t="inlineStr">
        <is>
          <t>NEW-32</t>
        </is>
      </c>
      <c r="B21" s="21" t="inlineStr">
        <is>
          <t>W4</t>
        </is>
      </c>
      <c r="C21" s="21" t="inlineStr">
        <is>
          <t>A+B</t>
        </is>
      </c>
      <c r="D21" s="21" t="inlineStr">
        <is>
          <t>S20c</t>
        </is>
      </c>
      <c r="E21" s="21" t="inlineStr">
        <is>
          <t>M3</t>
        </is>
      </c>
      <c r="F21" s="21">
        <f>COUNTIF('Backlog Target'!$B$2:$B$100,A21)</f>
        <v/>
      </c>
      <c r="G21" s="21">
        <f>COUNTIFS('Backlog Target'!$B$2:$B$100,A21,'Backlog Target'!$M$2:$M$100,"Fatto")</f>
        <v/>
      </c>
      <c r="H21" s="22">
        <f>IF(F21=0,"—",G21/F21)</f>
        <v/>
      </c>
    </row>
    <row r="22" ht="15" customHeight="1" s="13">
      <c r="A22" s="21" t="inlineStr">
        <is>
          <t>NEW-33</t>
        </is>
      </c>
      <c r="B22" s="21" t="inlineStr">
        <is>
          <t>W4</t>
        </is>
      </c>
      <c r="C22" s="21" t="inlineStr">
        <is>
          <t>B</t>
        </is>
      </c>
      <c r="D22" s="21" t="inlineStr">
        <is>
          <t>S21c</t>
        </is>
      </c>
      <c r="E22" s="21" t="inlineStr">
        <is>
          <t>M3</t>
        </is>
      </c>
      <c r="F22" s="21">
        <f>COUNTIF('Backlog Target'!$B$2:$B$100,A22)</f>
        <v/>
      </c>
      <c r="G22" s="21">
        <f>COUNTIFS('Backlog Target'!$B$2:$B$100,A22,'Backlog Target'!$M$2:$M$100,"Fatto")</f>
        <v/>
      </c>
      <c r="H22" s="22">
        <f>IF(F22=0,"—",G22/F22)</f>
        <v/>
      </c>
    </row>
    <row r="23" ht="15" customHeight="1" s="13">
      <c r="A23" s="21" t="inlineStr">
        <is>
          <t>NEW-29</t>
        </is>
      </c>
      <c r="B23" s="21" t="inlineStr">
        <is>
          <t>W4</t>
        </is>
      </c>
      <c r="C23" s="21" t="inlineStr">
        <is>
          <t>A+B</t>
        </is>
      </c>
      <c r="D23" s="21" t="inlineStr">
        <is>
          <t>S22c</t>
        </is>
      </c>
      <c r="E23" s="21" t="inlineStr">
        <is>
          <t>M3</t>
        </is>
      </c>
      <c r="F23" s="21">
        <f>COUNTIF('Backlog Target'!$B$2:$B$100,A23)</f>
        <v/>
      </c>
      <c r="G23" s="21">
        <f>COUNTIFS('Backlog Target'!$B$2:$B$100,A23,'Backlog Target'!$M$2:$M$100,"Fatto")</f>
        <v/>
      </c>
      <c r="H23" s="22">
        <f>IF(F23=0,"—",G23/F23)</f>
        <v/>
      </c>
    </row>
    <row r="24" ht="15" customHeight="1" s="13">
      <c r="A24" s="12" t="inlineStr">
        <is>
          <t>AVA-01</t>
        </is>
      </c>
      <c r="B24" s="12" t="inlineStr">
        <is>
          <t>W5</t>
        </is>
      </c>
      <c r="C24" s="12" t="inlineStr">
        <is>
          <t>A+B</t>
        </is>
      </c>
      <c r="D24" s="12" t="inlineStr">
        <is>
          <t>—</t>
        </is>
      </c>
      <c r="E24" s="12" t="inlineStr">
        <is>
          <t>M4</t>
        </is>
      </c>
      <c r="F24" s="12">
        <f>COUNTIF('Backlog Target'!$B$2:$B$200,A24)</f>
        <v/>
      </c>
      <c r="G24" s="12">
        <f>COUNTIFS('Backlog Target'!$B$2:$B$200,A24,'Backlog Target'!$M$2:$M$200,"Fatto")</f>
        <v/>
      </c>
      <c r="H24" s="12">
        <f>IF(F24=0,"—",G24/F24)</f>
        <v/>
      </c>
    </row>
    <row r="25">
      <c r="A25" s="12" t="inlineStr">
        <is>
          <t>AVA-02</t>
        </is>
      </c>
      <c r="B25" s="12" t="inlineStr">
        <is>
          <t>W5</t>
        </is>
      </c>
      <c r="C25" s="12" t="inlineStr">
        <is>
          <t>A+B</t>
        </is>
      </c>
      <c r="D25" s="12" t="inlineStr">
        <is>
          <t>S23</t>
        </is>
      </c>
      <c r="E25" s="12" t="inlineStr">
        <is>
          <t>M4</t>
        </is>
      </c>
      <c r="F25" s="12">
        <f>COUNTIF('Backlog Target'!$B$2:$B$200,A25)</f>
        <v/>
      </c>
      <c r="G25" s="12">
        <f>COUNTIFS('Backlog Target'!$B$2:$B$200,A25,'Backlog Target'!$M$2:$M$200,"Fatto")</f>
        <v/>
      </c>
      <c r="H25" s="12">
        <f>IF(F25=0,"—",G25/F25)</f>
        <v/>
      </c>
    </row>
    <row r="26">
      <c r="A26" s="12" t="inlineStr">
        <is>
          <t>AVA-03</t>
        </is>
      </c>
      <c r="B26" s="12" t="inlineStr">
        <is>
          <t>W5</t>
        </is>
      </c>
      <c r="C26" s="12" t="inlineStr">
        <is>
          <t>A+B</t>
        </is>
      </c>
      <c r="D26" s="12" t="inlineStr">
        <is>
          <t>S23</t>
        </is>
      </c>
      <c r="E26" s="12" t="inlineStr">
        <is>
          <t>M4</t>
        </is>
      </c>
      <c r="F26" s="12">
        <f>COUNTIF('Backlog Target'!$B$2:$B$200,A26)</f>
        <v/>
      </c>
      <c r="G26" s="12">
        <f>COUNTIFS('Backlog Target'!$B$2:$B$200,A26,'Backlog Target'!$M$2:$M$200,"Fatto")</f>
        <v/>
      </c>
      <c r="H26" s="12">
        <f>IF(F26=0,"—",G26/F26)</f>
        <v/>
      </c>
    </row>
    <row r="27">
      <c r="A27" s="12" t="inlineStr">
        <is>
          <t>AVA-04</t>
        </is>
      </c>
      <c r="B27" s="12" t="inlineStr">
        <is>
          <t>W5</t>
        </is>
      </c>
      <c r="C27" s="12" t="inlineStr">
        <is>
          <t>A+B</t>
        </is>
      </c>
      <c r="D27" s="12" t="inlineStr">
        <is>
          <t>S23</t>
        </is>
      </c>
      <c r="E27" s="12" t="inlineStr">
        <is>
          <t>M4</t>
        </is>
      </c>
      <c r="F27" s="12">
        <f>COUNTIF('Backlog Target'!$B$2:$B$200,A27)</f>
        <v/>
      </c>
      <c r="G27" s="12">
        <f>COUNTIFS('Backlog Target'!$B$2:$B$200,A27,'Backlog Target'!$M$2:$M$200,"Fatto")</f>
        <v/>
      </c>
      <c r="H27" s="12">
        <f>IF(F27=0,"—",G27/F27)</f>
        <v/>
      </c>
    </row>
    <row r="28">
      <c r="A28" s="12" t="inlineStr">
        <is>
          <t>AVA-05</t>
        </is>
      </c>
      <c r="B28" s="12" t="inlineStr">
        <is>
          <t>W5</t>
        </is>
      </c>
      <c r="C28" s="12" t="inlineStr">
        <is>
          <t>A+B</t>
        </is>
      </c>
      <c r="D28" s="12" t="inlineStr">
        <is>
          <t>S24</t>
        </is>
      </c>
      <c r="E28" s="12" t="inlineStr">
        <is>
          <t>M4</t>
        </is>
      </c>
      <c r="F28" s="12">
        <f>COUNTIF('Backlog Target'!$B$2:$B$200,A28)</f>
        <v/>
      </c>
      <c r="G28" s="12">
        <f>COUNTIFS('Backlog Target'!$B$2:$B$200,A28,'Backlog Target'!$M$2:$M$200,"Fatto")</f>
        <v/>
      </c>
      <c r="H28" s="12">
        <f>IF(F28=0,"—",G28/F28)</f>
        <v/>
      </c>
    </row>
    <row r="29">
      <c r="A29" s="12" t="inlineStr">
        <is>
          <t>AVA-06</t>
        </is>
      </c>
      <c r="B29" s="12" t="inlineStr">
        <is>
          <t>W5</t>
        </is>
      </c>
      <c r="C29" s="12" t="inlineStr">
        <is>
          <t>A+B</t>
        </is>
      </c>
      <c r="D29" s="12" t="inlineStr">
        <is>
          <t>S24</t>
        </is>
      </c>
      <c r="E29" s="12" t="inlineStr">
        <is>
          <t>M4</t>
        </is>
      </c>
      <c r="F29" s="12">
        <f>COUNTIF('Backlog Target'!$B$2:$B$200,A29)</f>
        <v/>
      </c>
      <c r="G29" s="12">
        <f>COUNTIFS('Backlog Target'!$B$2:$B$200,A29,'Backlog Target'!$M$2:$M$200,"Fatto")</f>
        <v/>
      </c>
      <c r="H29" s="12">
        <f>IF(F29=0,"—",G29/F29)</f>
        <v/>
      </c>
    </row>
    <row r="30">
      <c r="A30" s="12" t="inlineStr">
        <is>
          <t>AVA-07</t>
        </is>
      </c>
      <c r="B30" s="12" t="inlineStr">
        <is>
          <t>W5</t>
        </is>
      </c>
      <c r="C30" s="12" t="inlineStr">
        <is>
          <t>A+B</t>
        </is>
      </c>
      <c r="D30" s="12" t="inlineStr">
        <is>
          <t>S24</t>
        </is>
      </c>
      <c r="E30" s="12" t="inlineStr">
        <is>
          <t>M4</t>
        </is>
      </c>
      <c r="F30" s="12">
        <f>COUNTIF('Backlog Target'!$B$2:$B$200,A30)</f>
        <v/>
      </c>
      <c r="G30" s="12">
        <f>COUNTIFS('Backlog Target'!$B$2:$B$200,A30,'Backlog Target'!$M$2:$M$200,"Fatto")</f>
        <v/>
      </c>
      <c r="H30" s="12">
        <f>IF(F30=0,"—",G30/F30)</f>
        <v/>
      </c>
    </row>
    <row r="31">
      <c r="A31" s="12" t="inlineStr">
        <is>
          <t>AVA-08</t>
        </is>
      </c>
      <c r="B31" s="12" t="inlineStr">
        <is>
          <t>W5</t>
        </is>
      </c>
      <c r="C31" s="12" t="inlineStr">
        <is>
          <t>A+B</t>
        </is>
      </c>
      <c r="D31" s="12" t="inlineStr">
        <is>
          <t>S25</t>
        </is>
      </c>
      <c r="E31" s="12" t="inlineStr">
        <is>
          <t>M4</t>
        </is>
      </c>
      <c r="F31" s="12">
        <f>COUNTIF('Backlog Target'!$B$2:$B$200,A31)</f>
        <v/>
      </c>
      <c r="G31" s="12">
        <f>COUNTIFS('Backlog Target'!$B$2:$B$200,A31,'Backlog Target'!$M$2:$M$200,"Fatto")</f>
        <v/>
      </c>
      <c r="H31" s="12">
        <f>IF(F31=0,"—",G31/F31)</f>
        <v/>
      </c>
    </row>
    <row r="32">
      <c r="A32" s="12" t="inlineStr">
        <is>
          <t>AVA-09</t>
        </is>
      </c>
      <c r="B32" s="12" t="inlineStr">
        <is>
          <t>W5</t>
        </is>
      </c>
      <c r="C32" s="12" t="inlineStr">
        <is>
          <t>A+B</t>
        </is>
      </c>
      <c r="D32" s="12" t="inlineStr">
        <is>
          <t>S25</t>
        </is>
      </c>
      <c r="E32" s="12" t="inlineStr">
        <is>
          <t>M4</t>
        </is>
      </c>
      <c r="F32" s="12">
        <f>COUNTIF('Backlog Target'!$B$2:$B$200,A32)</f>
        <v/>
      </c>
      <c r="G32" s="12">
        <f>COUNTIFS('Backlog Target'!$B$2:$B$200,A32,'Backlog Target'!$M$2:$M$200,"Fatto")</f>
        <v/>
      </c>
      <c r="H32" s="12">
        <f>IF(F32=0,"—",G32/F32)</f>
        <v/>
      </c>
    </row>
    <row r="33">
      <c r="A33" s="12" t="inlineStr">
        <is>
          <t>AVA-10</t>
        </is>
      </c>
      <c r="B33" s="12" t="inlineStr">
        <is>
          <t>W5</t>
        </is>
      </c>
      <c r="C33" s="12" t="inlineStr">
        <is>
          <t>A+B</t>
        </is>
      </c>
      <c r="D33" s="12" t="inlineStr">
        <is>
          <t>S25</t>
        </is>
      </c>
      <c r="E33" s="12" t="inlineStr">
        <is>
          <t>M4</t>
        </is>
      </c>
      <c r="F33" s="12">
        <f>COUNTIF('Backlog Target'!$B$2:$B$200,A33)</f>
        <v/>
      </c>
      <c r="G33" s="12">
        <f>COUNTIFS('Backlog Target'!$B$2:$B$200,A33,'Backlog Target'!$M$2:$M$200,"Fatto")</f>
        <v/>
      </c>
      <c r="H33" s="12">
        <f>IF(F33=0,"—",G33/F33)</f>
        <v/>
      </c>
    </row>
    <row r="34">
      <c r="A34" s="12" t="inlineStr">
        <is>
          <t>AVA-11</t>
        </is>
      </c>
      <c r="B34" s="12" t="inlineStr">
        <is>
          <t>W5</t>
        </is>
      </c>
      <c r="C34" s="12" t="inlineStr">
        <is>
          <t>A+B</t>
        </is>
      </c>
      <c r="D34" s="12" t="inlineStr">
        <is>
          <t>S25</t>
        </is>
      </c>
      <c r="E34" s="12" t="inlineStr">
        <is>
          <t>M4</t>
        </is>
      </c>
      <c r="F34" s="12">
        <f>COUNTIF('Backlog Target'!$B$2:$B$200,A34)</f>
        <v/>
      </c>
      <c r="G34" s="12">
        <f>COUNTIFS('Backlog Target'!$B$2:$B$200,A34,'Backlog Target'!$M$2:$M$200,"Fatto")</f>
        <v/>
      </c>
      <c r="H34" s="12">
        <f>IF(F34=0,"—",G34/F34)</f>
        <v/>
      </c>
    </row>
    <row r="35">
      <c r="A35" s="12" t="inlineStr">
        <is>
          <t>AVA-12</t>
        </is>
      </c>
      <c r="B35" s="12" t="inlineStr">
        <is>
          <t>W5</t>
        </is>
      </c>
      <c r="C35" s="12" t="inlineStr">
        <is>
          <t>A+B</t>
        </is>
      </c>
      <c r="D35" s="12" t="inlineStr">
        <is>
          <t>S25</t>
        </is>
      </c>
      <c r="E35" s="12" t="inlineStr">
        <is>
          <t>M4</t>
        </is>
      </c>
      <c r="F35" s="12">
        <f>COUNTIF('Backlog Target'!$B$2:$B$200,A35)</f>
        <v/>
      </c>
      <c r="G35" s="12">
        <f>COUNTIFS('Backlog Target'!$B$2:$B$200,A35,'Backlog Target'!$M$2:$M$200,"Fatto")</f>
        <v/>
      </c>
      <c r="H35" s="12">
        <f>IF(F35=0,"—",G35/F35)</f>
        <v/>
      </c>
    </row>
    <row r="36">
      <c r="A36" s="23" t="inlineStr">
        <is>
          <t>TOTALE</t>
        </is>
      </c>
      <c r="B36" s="23" t="n"/>
      <c r="C36" s="23" t="n"/>
      <c r="D36" s="23" t="n"/>
      <c r="E36" s="23" t="n"/>
      <c r="F36" s="23">
        <f>SUM(F2:F35)</f>
        <v/>
      </c>
      <c r="G36" s="23">
        <f>SUM(G2:G35)</f>
        <v/>
      </c>
      <c r="H36" s="24">
        <f>IF(F36=0,0,G36/F36)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2" min="1" max="1"/>
    <col width="100" customWidth="1" style="12" min="2" max="2"/>
  </cols>
  <sheetData>
    <row r="1" ht="15" customHeight="1" s="13">
      <c r="A1" s="20" t="inlineStr">
        <is>
          <t>Campo</t>
        </is>
      </c>
      <c r="B1" s="20" t="inlineStr">
        <is>
          <t>Descrizione</t>
        </is>
      </c>
    </row>
    <row r="2" ht="15" customHeight="1" s="13">
      <c r="A2" s="21" t="inlineStr">
        <is>
          <t>ID</t>
        </is>
      </c>
      <c r="B2" s="21" t="inlineStr">
        <is>
          <t>BLG-nnn, ordinato per sequenza di piano (sprint → area)</t>
        </is>
      </c>
    </row>
    <row r="3" ht="15" customHeight="1" s="13">
      <c r="A3" s="21" t="inlineStr">
        <is>
          <t>Sprint</t>
        </is>
      </c>
      <c r="B3" s="21" t="inlineStr">
        <is>
          <t>Card NEW-xx del PIANO_SPRINT_TARGET.md (numerazione registro masterbook) o AVA-xx (programma DM 1154/2021, TRACEABILITY.md G22, fuori dal piano NEW-xx originale)</t>
        </is>
      </c>
    </row>
    <row r="4" ht="15" customHeight="1" s="13">
      <c r="A4" s="21" t="inlineStr">
        <is>
          <t>Wave / Squad / Sprint cal.</t>
        </is>
      </c>
      <c r="B4" s="21" t="inlineStr">
        <is>
          <t>Ondata W0–W4 (piano NEW-xx originale) + W5 (programma AVA, post-piano) · squad A (Platform) / B (AI &amp; Product) / A+B · sprint di calendario S1–S22c (piano originale), S23–S25 (AVA, disclosed placement — nessun piano preesistente assegnava AVA a un'ondata/sprint-cal.)</t>
        </is>
      </c>
    </row>
    <row r="5" ht="15" customHeight="1" s="13">
      <c r="A5" s="21" t="inlineStr">
        <is>
          <t>Milestone</t>
        </is>
      </c>
      <c r="B5" s="21" t="inlineStr">
        <is>
          <t>M1 PreEval+Intake (fine nov 2026) · M2 Faculty+Student loop (fine dic 2026) · M3 target completo (metà feb 2027) · M4 Accreditamento &amp; QA — DM 1154/2021 (fuori scope piano originale, aggiunta AVA)</t>
        </is>
      </c>
    </row>
    <row r="6" ht="15" customHeight="1" s="13">
      <c r="A6" s="21" t="inlineStr">
        <is>
          <t>Tipo</t>
        </is>
      </c>
      <c r="B6" s="21" t="inlineStr">
        <is>
          <t>Nuova (90 = 75 piano originale + 15 AVA) o Estensione (7) — da ALBERO_FUNZIONALITA_TARGET.xlsx</t>
        </is>
      </c>
    </row>
    <row r="7" ht="15" customHeight="1" s="13">
      <c r="A7" s="21" t="inlineStr">
        <is>
          <t>Stato avanzamento</t>
        </is>
      </c>
      <c r="B7" s="21" t="inlineStr">
        <is>
          <t>Da fare / In corso / In review / Fatto / Bloccato (tendina) — unico campo da aggiornare</t>
        </is>
      </c>
    </row>
    <row r="8" ht="15" customHeight="1" s="13">
      <c r="A8" s="21" t="inlineStr">
        <is>
          <t>Nota metodo</t>
        </is>
      </c>
      <c r="B8" s="21" t="inlineStr">
        <is>
          <t>NEW-17f (fondazioni) e NEW-29 includono anche lavoro non-feature (migrazioni, taxonomy, conformance): qui compaiono solo le feature dell albero. AVA-01 (schema-only) segue la stessa convenzione — zero righe qui, coerente con zero righe proprie nell'Albero.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2026-07-29T16:07:38Z</dcterms:created>
  <dcterms:modified xmlns:dcterms="http://purl.org/dc/terms/" xmlns:xsi="http://www.w3.org/2001/XMLSchema-instance" xsi:type="dcterms:W3CDTF">2026-08-04T22:48:03Z</dcterms:modified>
  <cp:revision>0</cp:revision>
</cp:coreProperties>
</file>