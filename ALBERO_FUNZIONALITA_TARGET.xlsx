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lbero Funzionalità Target" sheetId="1" state="visible" r:id="rId1"/>
    <sheet xmlns:r="http://schemas.openxmlformats.org/officeDocument/2006/relationships" name="Riepilogo Aree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'Albero Funzionalità Target'!$A$1:$F$296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/>
      <right/>
      <top/>
      <bottom style="hair">
        <color rgb="FFBBBBBB"/>
      </bottom>
      <diagonal/>
    </border>
    <border>
      <bottom style="hair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7" fillId="5" borderId="2" applyAlignment="1" pivotButton="0" quotePrefix="0" xfId="0">
      <alignment vertical="top" wrapText="1"/>
    </xf>
    <xf numFmtId="0" fontId="5" fillId="4" borderId="1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9" min="1" max="1"/>
    <col width="30" customWidth="1" style="9" min="2" max="2"/>
    <col width="62" customWidth="1" style="9" min="3" max="3"/>
    <col width="11" customWidth="1" style="9" min="4" max="4"/>
    <col width="22" customWidth="1" style="9" min="5" max="5"/>
    <col width="24" customWidth="1" style="9" min="6" max="6"/>
  </cols>
  <sheetData>
    <row r="1" ht="23.25" customHeight="1" s="10">
      <c r="A1" s="11" t="inlineStr">
        <is>
          <t>Area Funzionale</t>
        </is>
      </c>
      <c r="B1" s="11" t="inlineStr">
        <is>
          <t>Sottoarea</t>
        </is>
      </c>
      <c r="C1" s="11" t="inlineStr">
        <is>
          <t>Funzionalità</t>
        </is>
      </c>
      <c r="D1" s="11" t="inlineStr">
        <is>
          <t>Stato</t>
        </is>
      </c>
      <c r="E1" s="11" t="inlineStr">
        <is>
          <t>Persona principale</t>
        </is>
      </c>
      <c r="F1" s="11" t="inlineStr">
        <is>
          <t>Riferimento (dominio ER / Book)</t>
        </is>
      </c>
    </row>
    <row r="2" ht="23.25" customHeight="1" s="10">
      <c r="A2" s="12" t="inlineStr">
        <is>
          <t>1. Piattaforma &amp; Multi-tenancy</t>
        </is>
      </c>
      <c r="B2" s="12" t="inlineStr">
        <is>
          <t>Gestione Tenant &amp; Organizzazioni</t>
        </is>
      </c>
      <c r="C2" s="12" t="inlineStr">
        <is>
          <t>Provisioning e gestione tenant</t>
        </is>
      </c>
      <c r="D2" s="12" t="inlineStr">
        <is>
          <t>Esistente</t>
        </is>
      </c>
      <c r="E2" s="12" t="inlineStr">
        <is>
          <t>System Admin / Tech Admin</t>
        </is>
      </c>
      <c r="F2" s="12" t="n"/>
    </row>
    <row r="3" ht="23.25" customHeight="1" s="10">
      <c r="A3" s="12" t="inlineStr">
        <is>
          <t>1. Piattaforma &amp; Multi-tenancy</t>
        </is>
      </c>
      <c r="B3" s="12" t="inlineStr">
        <is>
          <t>Gestione Tenant &amp; Organizzazioni</t>
        </is>
      </c>
      <c r="C3" s="12" t="inlineStr">
        <is>
          <t>Configurazione e branding per tenant</t>
        </is>
      </c>
      <c r="D3" s="12" t="inlineStr">
        <is>
          <t>Esistente</t>
        </is>
      </c>
      <c r="E3" s="12" t="inlineStr">
        <is>
          <t>System Admin / Tech Admin</t>
        </is>
      </c>
      <c r="F3" s="12" t="n"/>
    </row>
    <row r="4" ht="23.25" customHeight="1" s="10">
      <c r="A4" s="12" t="inlineStr">
        <is>
          <t>1. Piattaforma &amp; Multi-tenancy</t>
        </is>
      </c>
      <c r="B4" s="12" t="inlineStr">
        <is>
          <t>Gestione Tenant &amp; Organizzazioni</t>
        </is>
      </c>
      <c r="C4" s="12" t="inlineStr">
        <is>
          <t>Amministrazione tenant (admin)</t>
        </is>
      </c>
      <c r="D4" s="12" t="inlineStr">
        <is>
          <t>Esistente</t>
        </is>
      </c>
      <c r="E4" s="12" t="inlineStr">
        <is>
          <t>System Admin / Tech Admin</t>
        </is>
      </c>
      <c r="F4" s="12" t="n"/>
    </row>
    <row r="5" ht="23.25" customHeight="1" s="10">
      <c r="A5" s="12" t="inlineStr">
        <is>
          <t>1. Piattaforma &amp; Multi-tenancy</t>
        </is>
      </c>
      <c r="B5" s="12" t="inlineStr">
        <is>
          <t>Gestione Tenant &amp; Organizzazioni</t>
        </is>
      </c>
      <c r="C5" s="12" t="inlineStr">
        <is>
          <t>Gestione organizzazione</t>
        </is>
      </c>
      <c r="D5" s="12" t="inlineStr">
        <is>
          <t>Esistente</t>
        </is>
      </c>
      <c r="E5" s="12" t="inlineStr">
        <is>
          <t>System Admin / Tech Admin</t>
        </is>
      </c>
      <c r="F5" s="12" t="n"/>
    </row>
    <row r="6" ht="23.25" customHeight="1" s="10">
      <c r="A6" s="12" t="inlineStr">
        <is>
          <t>1. Piattaforma &amp; Multi-tenancy</t>
        </is>
      </c>
      <c r="B6" s="12" t="inlineStr">
        <is>
          <t>Istituzioni &amp; Gerarchia Accademica</t>
        </is>
      </c>
      <c r="C6" s="12" t="inlineStr">
        <is>
          <t>Anagrafica Istituzione (estensione del Tenant)</t>
        </is>
      </c>
      <c r="D6" s="12" t="inlineStr">
        <is>
          <t>Esistente</t>
        </is>
      </c>
      <c r="E6" s="12" t="inlineStr">
        <is>
          <t>System Admin / Tech Admin</t>
        </is>
      </c>
      <c r="F6" s="12" t="n"/>
    </row>
    <row r="7" ht="23.25" customHeight="1" s="10">
      <c r="A7" s="12" t="inlineStr">
        <is>
          <t>1. Piattaforma &amp; Multi-tenancy</t>
        </is>
      </c>
      <c r="B7" s="12" t="inlineStr">
        <is>
          <t>Istituzioni &amp; Gerarchia Accademica</t>
        </is>
      </c>
      <c r="C7" s="12" t="inlineStr">
        <is>
          <t>College / School / Department / Program</t>
        </is>
      </c>
      <c r="D7" s="12" t="inlineStr">
        <is>
          <t>Esistente</t>
        </is>
      </c>
      <c r="E7" s="12" t="inlineStr">
        <is>
          <t>System Admin / Tech Admin</t>
        </is>
      </c>
      <c r="F7" s="12" t="n"/>
    </row>
    <row r="8" ht="23.25" customHeight="1" s="10">
      <c r="A8" s="12" t="inlineStr">
        <is>
          <t>1. Piattaforma &amp; Multi-tenancy</t>
        </is>
      </c>
      <c r="B8" s="12" t="inlineStr">
        <is>
          <t>Istituzioni &amp; Gerarchia Accademica</t>
        </is>
      </c>
      <c r="C8" s="12" t="inlineStr">
        <is>
          <t>Workspace di istituzione</t>
        </is>
      </c>
      <c r="D8" s="12" t="inlineStr">
        <is>
          <t>Esistente</t>
        </is>
      </c>
      <c r="E8" s="12" t="inlineStr">
        <is>
          <t>System Admin / Tech Admin</t>
        </is>
      </c>
      <c r="F8" s="12" t="n"/>
    </row>
    <row r="9" ht="23.25" customHeight="1" s="10">
      <c r="A9" s="12" t="inlineStr">
        <is>
          <t>1. Piattaforma &amp; Multi-tenancy</t>
        </is>
      </c>
      <c r="B9" s="12" t="inlineStr">
        <is>
          <t>Istituzioni &amp; Gerarchia Accademica</t>
        </is>
      </c>
      <c r="C9" s="12" t="inlineStr">
        <is>
          <t>Unità accademiche (PI1)</t>
        </is>
      </c>
      <c r="D9" s="12" t="inlineStr">
        <is>
          <t>Esistente</t>
        </is>
      </c>
      <c r="E9" s="12" t="inlineStr">
        <is>
          <t>System Admin / Tech Admin</t>
        </is>
      </c>
      <c r="F9" s="12" t="n"/>
    </row>
    <row r="10" ht="23.25" customHeight="1" s="10">
      <c r="A10" s="12" t="inlineStr">
        <is>
          <t>1. Piattaforma &amp; Multi-tenancy</t>
        </is>
      </c>
      <c r="B10" s="12" t="inlineStr">
        <is>
          <t>Amministrazione di Piattaforma</t>
        </is>
      </c>
      <c r="C10" s="12" t="inlineStr">
        <is>
          <t>Console amministrativa</t>
        </is>
      </c>
      <c r="D10" s="12" t="inlineStr">
        <is>
          <t>Esistente</t>
        </is>
      </c>
      <c r="E10" s="12" t="inlineStr">
        <is>
          <t>System Admin / Tech Admin</t>
        </is>
      </c>
      <c r="F10" s="12" t="n"/>
    </row>
    <row r="11" ht="23.25" customHeight="1" s="10">
      <c r="A11" s="12" t="inlineStr">
        <is>
          <t>1. Piattaforma &amp; Multi-tenancy</t>
        </is>
      </c>
      <c r="B11" s="12" t="inlineStr">
        <is>
          <t>Amministrazione di Piattaforma</t>
        </is>
      </c>
      <c r="C11" s="12" t="inlineStr">
        <is>
          <t>Console operatore (operator plane)</t>
        </is>
      </c>
      <c r="D11" s="12" t="inlineStr">
        <is>
          <t>Esistente</t>
        </is>
      </c>
      <c r="E11" s="12" t="inlineStr">
        <is>
          <t>System Admin / Tech Admin</t>
        </is>
      </c>
      <c r="F11" s="12" t="n"/>
    </row>
    <row r="12" ht="23.25" customHeight="1" s="10">
      <c r="A12" s="12" t="inlineStr">
        <is>
          <t>1. Piattaforma &amp; Multi-tenancy</t>
        </is>
      </c>
      <c r="B12" s="12" t="inlineStr">
        <is>
          <t>Amministrazione di Piattaforma</t>
        </is>
      </c>
      <c r="C12" s="12" t="inlineStr">
        <is>
          <t>Steward console</t>
        </is>
      </c>
      <c r="D12" s="12" t="inlineStr">
        <is>
          <t>Esistente</t>
        </is>
      </c>
      <c r="E12" s="12" t="inlineStr">
        <is>
          <t>System Admin / Tech Admin</t>
        </is>
      </c>
      <c r="F12" s="12" t="n"/>
    </row>
    <row r="13" ht="23.25" customHeight="1" s="10">
      <c r="A13" s="12" t="inlineStr">
        <is>
          <t>1. Piattaforma &amp; Multi-tenancy</t>
        </is>
      </c>
      <c r="B13" s="12" t="inlineStr">
        <is>
          <t>Amministrazione di Piattaforma</t>
        </is>
      </c>
      <c r="C13" s="12" t="inlineStr">
        <is>
          <t>Monitoraggio amministrativo</t>
        </is>
      </c>
      <c r="D13" s="12" t="inlineStr">
        <is>
          <t>Esistente</t>
        </is>
      </c>
      <c r="E13" s="12" t="inlineStr">
        <is>
          <t>System Admin / Tech Admin</t>
        </is>
      </c>
      <c r="F13" s="12" t="n"/>
    </row>
    <row r="14" ht="23.25" customHeight="1" s="10">
      <c r="A14" s="12" t="inlineStr">
        <is>
          <t>1. Piattaforma &amp; Multi-tenancy</t>
        </is>
      </c>
      <c r="B14" s="12" t="inlineStr">
        <is>
          <t>Billing &amp; Abbonamenti</t>
        </is>
      </c>
      <c r="C14" s="12" t="inlineStr">
        <is>
          <t>Fatturazione e sottoscrizioni</t>
        </is>
      </c>
      <c r="D14" s="12" t="inlineStr">
        <is>
          <t>Esistente</t>
        </is>
      </c>
      <c r="E14" s="12" t="inlineStr">
        <is>
          <t>System Admin / Tech Admin</t>
        </is>
      </c>
      <c r="F14" s="12" t="n"/>
    </row>
    <row r="15" ht="23.25" customHeight="1" s="10">
      <c r="A15" s="12" t="inlineStr">
        <is>
          <t>1. Piattaforma &amp; Multi-tenancy</t>
        </is>
      </c>
      <c r="B15" s="12" t="inlineStr">
        <is>
          <t>Billing &amp; Abbonamenti</t>
        </is>
      </c>
      <c r="C15" s="12" t="inlineStr">
        <is>
          <t>Gestione posti (seat management)</t>
        </is>
      </c>
      <c r="D15" s="12" t="inlineStr">
        <is>
          <t>Esistente</t>
        </is>
      </c>
      <c r="E15" s="12" t="inlineStr">
        <is>
          <t>System Admin / Tech Admin</t>
        </is>
      </c>
      <c r="F15" s="12" t="n"/>
    </row>
    <row r="16" ht="23.25" customHeight="1" s="10">
      <c r="A16" s="12" t="inlineStr">
        <is>
          <t>1. Piattaforma &amp; Multi-tenancy</t>
        </is>
      </c>
      <c r="B16" s="12" t="inlineStr">
        <is>
          <t>Billing &amp; Abbonamenti</t>
        </is>
      </c>
      <c r="C16" s="12" t="inlineStr">
        <is>
          <t>Quota e budget crediti</t>
        </is>
      </c>
      <c r="D16" s="12" t="inlineStr">
        <is>
          <t>Esistente</t>
        </is>
      </c>
      <c r="E16" s="12" t="inlineStr">
        <is>
          <t>System Admin / Tech Admin</t>
        </is>
      </c>
      <c r="F16" s="12" t="n"/>
    </row>
    <row r="17" ht="15" customHeight="1" s="10">
      <c r="A17" s="13" t="inlineStr">
        <is>
          <t>1. Piattaforma &amp; Multi-tenancy</t>
        </is>
      </c>
      <c r="B17" s="13" t="inlineStr">
        <is>
          <t>Guardrail &amp; Sicurezza Tenant</t>
        </is>
      </c>
      <c r="C17" s="13" t="inlineStr">
        <is>
          <t>Policy guardrail per tenant (egress, data residency, allowlist modelli)</t>
        </is>
      </c>
      <c r="D17" s="13" t="inlineStr">
        <is>
          <t>Nuova</t>
        </is>
      </c>
      <c r="E17" s="13" t="inlineStr">
        <is>
          <t>System Admin</t>
        </is>
      </c>
      <c r="F17" s="13" t="inlineStr">
        <is>
          <t>T12 · BOOK-19 agg.</t>
        </is>
      </c>
    </row>
    <row r="18" ht="15" customHeight="1" s="10">
      <c r="A18" s="13" t="inlineStr">
        <is>
          <t>1. Piattaforma &amp; Multi-tenancy</t>
        </is>
      </c>
      <c r="B18" s="13" t="inlineStr">
        <is>
          <t>Guardrail &amp; Sicurezza Tenant</t>
        </is>
      </c>
      <c r="C18" s="13" t="inlineStr">
        <is>
          <t>Audit enforcement guardrail</t>
        </is>
      </c>
      <c r="D18" s="13" t="inlineStr">
        <is>
          <t>Nuova</t>
        </is>
      </c>
      <c r="E18" s="13" t="inlineStr">
        <is>
          <t>System Admin</t>
        </is>
      </c>
      <c r="F18" s="13" t="inlineStr">
        <is>
          <t>T12</t>
        </is>
      </c>
    </row>
    <row r="19" ht="15" customHeight="1" s="10">
      <c r="A19" s="12" t="inlineStr">
        <is>
          <t>2. Identità, Autenticazione &amp; Accessi</t>
        </is>
      </c>
      <c r="B19" s="12" t="inlineStr">
        <is>
          <t>Autenticazione</t>
        </is>
      </c>
      <c r="C19" s="12" t="inlineStr">
        <is>
          <t>Registrazione, login, logout (JWT)</t>
        </is>
      </c>
      <c r="D19" s="12" t="inlineStr">
        <is>
          <t>Esistente</t>
        </is>
      </c>
      <c r="E19" s="12" t="inlineStr">
        <is>
          <t>Tech Admin</t>
        </is>
      </c>
      <c r="F19" s="12" t="n"/>
    </row>
    <row r="20" ht="15" customHeight="1" s="10">
      <c r="A20" s="12" t="inlineStr">
        <is>
          <t>2. Identità, Autenticazione &amp; Accessi</t>
        </is>
      </c>
      <c r="B20" s="12" t="inlineStr">
        <is>
          <t>Autenticazione</t>
        </is>
      </c>
      <c r="C20" s="12" t="inlineStr">
        <is>
          <t>Gestione e reset password</t>
        </is>
      </c>
      <c r="D20" s="12" t="inlineStr">
        <is>
          <t>Esistente</t>
        </is>
      </c>
      <c r="E20" s="12" t="inlineStr">
        <is>
          <t>Tech Admin</t>
        </is>
      </c>
      <c r="F20" s="12" t="n"/>
    </row>
    <row r="21" ht="15" customHeight="1" s="10">
      <c r="A21" s="12" t="inlineStr">
        <is>
          <t>2. Identità, Autenticazione &amp; Accessi</t>
        </is>
      </c>
      <c r="B21" s="12" t="inlineStr">
        <is>
          <t>Autenticazione</t>
        </is>
      </c>
      <c r="C21" s="12" t="inlineStr">
        <is>
          <t>Autenticazione avanzata / sessioni</t>
        </is>
      </c>
      <c r="D21" s="12" t="inlineStr">
        <is>
          <t>Esistente</t>
        </is>
      </c>
      <c r="E21" s="12" t="inlineStr">
        <is>
          <t>Tech Admin</t>
        </is>
      </c>
      <c r="F21" s="12" t="n"/>
    </row>
    <row r="22" ht="15" customHeight="1" s="10">
      <c r="A22" s="12" t="inlineStr">
        <is>
          <t>2. Identità, Autenticazione &amp; Accessi</t>
        </is>
      </c>
      <c r="B22" s="12" t="inlineStr">
        <is>
          <t>Single Sign-On &amp; Federazione</t>
        </is>
      </c>
      <c r="C22" s="12" t="inlineStr">
        <is>
          <t>SAML / Shibboleth</t>
        </is>
      </c>
      <c r="D22" s="12" t="inlineStr">
        <is>
          <t>Esistente</t>
        </is>
      </c>
      <c r="E22" s="12" t="inlineStr">
        <is>
          <t>Tech Admin</t>
        </is>
      </c>
      <c r="F22" s="12" t="n"/>
    </row>
    <row r="23" ht="15" customHeight="1" s="10">
      <c r="A23" s="12" t="inlineStr">
        <is>
          <t>2. Identità, Autenticazione &amp; Accessi</t>
        </is>
      </c>
      <c r="B23" s="12" t="inlineStr">
        <is>
          <t>Single Sign-On &amp; Federazione</t>
        </is>
      </c>
      <c r="C23" s="12" t="inlineStr">
        <is>
          <t>OIDC</t>
        </is>
      </c>
      <c r="D23" s="12" t="inlineStr">
        <is>
          <t>Esistente</t>
        </is>
      </c>
      <c r="E23" s="12" t="inlineStr">
        <is>
          <t>Tech Admin</t>
        </is>
      </c>
      <c r="F23" s="12" t="n"/>
    </row>
    <row r="24" ht="15" customHeight="1" s="10">
      <c r="A24" s="12" t="inlineStr">
        <is>
          <t>2. Identità, Autenticazione &amp; Accessi</t>
        </is>
      </c>
      <c r="B24" s="12" t="inlineStr">
        <is>
          <t>Single Sign-On &amp; Federazione</t>
        </is>
      </c>
      <c r="C24" s="12" t="inlineStr">
        <is>
          <t>Federazione identità</t>
        </is>
      </c>
      <c r="D24" s="12" t="inlineStr">
        <is>
          <t>Esistente</t>
        </is>
      </c>
      <c r="E24" s="12" t="inlineStr">
        <is>
          <t>Tech Admin</t>
        </is>
      </c>
      <c r="F24" s="12" t="n"/>
    </row>
    <row r="25" ht="15" customHeight="1" s="10">
      <c r="A25" s="12" t="inlineStr">
        <is>
          <t>2. Identità, Autenticazione &amp; Accessi</t>
        </is>
      </c>
      <c r="B25" s="12" t="inlineStr">
        <is>
          <t>Single Sign-On &amp; Federazione</t>
        </is>
      </c>
      <c r="C25" s="12" t="inlineStr">
        <is>
          <t>LTI 1.3 / piattaforme LTI</t>
        </is>
      </c>
      <c r="D25" s="12" t="inlineStr">
        <is>
          <t>Esistente</t>
        </is>
      </c>
      <c r="E25" s="12" t="inlineStr">
        <is>
          <t>Tech Admin</t>
        </is>
      </c>
      <c r="F25" s="12" t="n"/>
    </row>
    <row r="26" ht="15" customHeight="1" s="10">
      <c r="A26" s="12" t="inlineStr">
        <is>
          <t>2. Identità, Autenticazione &amp; Accessi</t>
        </is>
      </c>
      <c r="B26" s="12" t="inlineStr">
        <is>
          <t>Single Sign-On &amp; Federazione</t>
        </is>
      </c>
      <c r="C26" s="12" t="inlineStr">
        <is>
          <t>SPID (via Keycloak) — profilo italiano</t>
        </is>
      </c>
      <c r="D26" s="12" t="inlineStr">
        <is>
          <t>Esistente</t>
        </is>
      </c>
      <c r="E26" s="12" t="inlineStr">
        <is>
          <t>Tech Admin</t>
        </is>
      </c>
      <c r="F26" s="12" t="n"/>
    </row>
    <row r="27" ht="15" customHeight="1" s="10">
      <c r="A27" s="12" t="inlineStr">
        <is>
          <t>2. Identità, Autenticazione &amp; Accessi</t>
        </is>
      </c>
      <c r="B27" s="12" t="inlineStr">
        <is>
          <t>Autorizzazione &amp; Ruoli</t>
        </is>
      </c>
      <c r="C27" s="12" t="inlineStr">
        <is>
          <t>RBAC (ruoli e permessi)</t>
        </is>
      </c>
      <c r="D27" s="12" t="inlineStr">
        <is>
          <t>Esistente</t>
        </is>
      </c>
      <c r="E27" s="12" t="inlineStr">
        <is>
          <t>Tech Admin</t>
        </is>
      </c>
      <c r="F27" s="12" t="n"/>
    </row>
    <row r="28" ht="15" customHeight="1" s="10">
      <c r="A28" s="12" t="inlineStr">
        <is>
          <t>2. Identità, Autenticazione &amp; Accessi</t>
        </is>
      </c>
      <c r="B28" s="12" t="inlineStr">
        <is>
          <t>Autorizzazione &amp; Ruoli</t>
        </is>
      </c>
      <c r="C28" s="12" t="inlineStr">
        <is>
          <t>Inviti utente</t>
        </is>
      </c>
      <c r="D28" s="12" t="inlineStr">
        <is>
          <t>Esistente</t>
        </is>
      </c>
      <c r="E28" s="12" t="inlineStr">
        <is>
          <t>Tech Admin</t>
        </is>
      </c>
      <c r="F28" s="12" t="n"/>
    </row>
    <row r="29" ht="15" customHeight="1" s="10">
      <c r="A29" s="12" t="inlineStr">
        <is>
          <t>2. Identità, Autenticazione &amp; Accessi</t>
        </is>
      </c>
      <c r="B29" s="12" t="inlineStr">
        <is>
          <t>Autorizzazione &amp; Ruoli</t>
        </is>
      </c>
      <c r="C29" s="12" t="inlineStr">
        <is>
          <t>Profilo utente e preferenze</t>
        </is>
      </c>
      <c r="D29" s="12" t="inlineStr">
        <is>
          <t>Esistente</t>
        </is>
      </c>
      <c r="E29" s="12" t="inlineStr">
        <is>
          <t>Tech Admin</t>
        </is>
      </c>
      <c r="F29" s="12" t="n"/>
    </row>
    <row r="30" ht="15" customHeight="1" s="10">
      <c r="A30" s="12" t="inlineStr">
        <is>
          <t>2. Identità, Autenticazione &amp; Accessi</t>
        </is>
      </c>
      <c r="B30" s="12" t="inlineStr">
        <is>
          <t>Autorizzazione &amp; Ruoli</t>
        </is>
      </c>
      <c r="C30" s="12" t="inlineStr">
        <is>
          <t>Attivazione / disattivazione utenti</t>
        </is>
      </c>
      <c r="D30" s="12" t="inlineStr">
        <is>
          <t>Esistente</t>
        </is>
      </c>
      <c r="E30" s="12" t="inlineStr">
        <is>
          <t>Tech Admin</t>
        </is>
      </c>
      <c r="F30" s="12" t="n"/>
    </row>
    <row r="31" ht="15" customHeight="1" s="10">
      <c r="A31" s="12" t="inlineStr">
        <is>
          <t>3. Authoring &amp; Gestione Corsi</t>
        </is>
      </c>
      <c r="B31" s="12" t="inlineStr">
        <is>
          <t>Struttura del Corso</t>
        </is>
      </c>
      <c r="C31" s="12" t="inlineStr">
        <is>
          <t>Corsi (CRUD, pubblicazione, visibilità)</t>
        </is>
      </c>
      <c r="D31" s="12" t="inlineStr">
        <is>
          <t>Esistente</t>
        </is>
      </c>
      <c r="E31" s="12" t="inlineStr">
        <is>
          <t>Teacher / Dean</t>
        </is>
      </c>
      <c r="F31" s="12" t="n"/>
    </row>
    <row r="32" ht="15" customHeight="1" s="10">
      <c r="A32" s="12" t="inlineStr">
        <is>
          <t>3. Authoring &amp; Gestione Corsi</t>
        </is>
      </c>
      <c r="B32" s="12" t="inlineStr">
        <is>
          <t>Struttura del Corso</t>
        </is>
      </c>
      <c r="C32" s="12" t="inlineStr">
        <is>
          <t>Sezioni / Pagine / Componenti</t>
        </is>
      </c>
      <c r="D32" s="12" t="inlineStr">
        <is>
          <t>Esistente</t>
        </is>
      </c>
      <c r="E32" s="12" t="inlineStr">
        <is>
          <t>Teacher / Dean</t>
        </is>
      </c>
      <c r="F32" s="12" t="n"/>
    </row>
    <row r="33" ht="15" customHeight="1" s="10">
      <c r="A33" s="12" t="inlineStr">
        <is>
          <t>3. Authoring &amp; Gestione Corsi</t>
        </is>
      </c>
      <c r="B33" s="12" t="inlineStr">
        <is>
          <t>Struttura del Corso</t>
        </is>
      </c>
      <c r="C33" s="12" t="inlineStr">
        <is>
          <t>Risorse e allegati</t>
        </is>
      </c>
      <c r="D33" s="12" t="inlineStr">
        <is>
          <t>Esistente</t>
        </is>
      </c>
      <c r="E33" s="12" t="inlineStr">
        <is>
          <t>Teacher / Dean</t>
        </is>
      </c>
      <c r="F33" s="12" t="n"/>
    </row>
    <row r="34" ht="15" customHeight="1" s="10">
      <c r="A34" s="12" t="inlineStr">
        <is>
          <t>3. Authoring &amp; Gestione Corsi</t>
        </is>
      </c>
      <c r="B34" s="12" t="inlineStr">
        <is>
          <t>Struttura del Corso</t>
        </is>
      </c>
      <c r="C34" s="12" t="inlineStr">
        <is>
          <t>Metadati corso</t>
        </is>
      </c>
      <c r="D34" s="12" t="inlineStr">
        <is>
          <t>Esistente</t>
        </is>
      </c>
      <c r="E34" s="12" t="inlineStr">
        <is>
          <t>Teacher / Dean</t>
        </is>
      </c>
      <c r="F34" s="12" t="n"/>
    </row>
    <row r="35" ht="15" customHeight="1" s="10">
      <c r="A35" s="12" t="inlineStr">
        <is>
          <t>3. Authoring &amp; Gestione Corsi</t>
        </is>
      </c>
      <c r="B35" s="12" t="inlineStr">
        <is>
          <t>Ciclo di Vita &amp; Workflow Editoriale</t>
        </is>
      </c>
      <c r="C35" s="12" t="inlineStr">
        <is>
          <t>Governance del corso</t>
        </is>
      </c>
      <c r="D35" s="12" t="inlineStr">
        <is>
          <t>Esistente</t>
        </is>
      </c>
      <c r="E35" s="12" t="inlineStr">
        <is>
          <t>Teacher / Dean</t>
        </is>
      </c>
      <c r="F35" s="12" t="n"/>
    </row>
    <row r="36" ht="15" customHeight="1" s="10">
      <c r="A36" s="12" t="inlineStr">
        <is>
          <t>3. Authoring &amp; Gestione Corsi</t>
        </is>
      </c>
      <c r="B36" s="12" t="inlineStr">
        <is>
          <t>Ciclo di Vita &amp; Workflow Editoriale</t>
        </is>
      </c>
      <c r="C36" s="12" t="inlineStr">
        <is>
          <t>Workflow di approvazione</t>
        </is>
      </c>
      <c r="D36" s="12" t="inlineStr">
        <is>
          <t>Esistente</t>
        </is>
      </c>
      <c r="E36" s="12" t="inlineStr">
        <is>
          <t>Teacher / Dean</t>
        </is>
      </c>
      <c r="F36" s="12" t="n"/>
    </row>
    <row r="37" ht="15" customHeight="1" s="10">
      <c r="A37" s="12" t="inlineStr">
        <is>
          <t>3. Authoring &amp; Gestione Corsi</t>
        </is>
      </c>
      <c r="B37" s="12" t="inlineStr">
        <is>
          <t>Ciclo di Vita &amp; Workflow Editoriale</t>
        </is>
      </c>
      <c r="C37" s="12" t="inlineStr">
        <is>
          <t>Review e revisione contenuti</t>
        </is>
      </c>
      <c r="D37" s="12" t="inlineStr">
        <is>
          <t>Esistente</t>
        </is>
      </c>
      <c r="E37" s="12" t="inlineStr">
        <is>
          <t>Teacher / Dean</t>
        </is>
      </c>
      <c r="F37" s="12" t="n"/>
    </row>
    <row r="38" ht="15" customHeight="1" s="10">
      <c r="A38" s="12" t="inlineStr">
        <is>
          <t>3. Authoring &amp; Gestione Corsi</t>
        </is>
      </c>
      <c r="B38" s="12" t="inlineStr">
        <is>
          <t>Ciclo di Vita &amp; Workflow Editoriale</t>
        </is>
      </c>
      <c r="C38" s="12" t="inlineStr">
        <is>
          <t>Approvazione del Preside (Dean approval)</t>
        </is>
      </c>
      <c r="D38" s="12" t="inlineStr">
        <is>
          <t>Esistente</t>
        </is>
      </c>
      <c r="E38" s="12" t="inlineStr">
        <is>
          <t>Teacher / Dean</t>
        </is>
      </c>
      <c r="F38" s="12" t="n"/>
    </row>
    <row r="39" ht="15" customHeight="1" s="10">
      <c r="A39" s="12" t="inlineStr">
        <is>
          <t>3. Authoring &amp; Gestione Corsi</t>
        </is>
      </c>
      <c r="B39" s="12" t="inlineStr">
        <is>
          <t>Ciclo di Vita &amp; Workflow Editoriale</t>
        </is>
      </c>
      <c r="C39" s="12" t="inlineStr">
        <is>
          <t>Versionamento e cronologia versioni</t>
        </is>
      </c>
      <c r="D39" s="12" t="inlineStr">
        <is>
          <t>Esistente</t>
        </is>
      </c>
      <c r="E39" s="12" t="inlineStr">
        <is>
          <t>Teacher / Dean</t>
        </is>
      </c>
      <c r="F39" s="12" t="n"/>
    </row>
    <row r="40" ht="15" customHeight="1" s="10">
      <c r="A40" s="12" t="inlineStr">
        <is>
          <t>3. Authoring &amp; Gestione Corsi</t>
        </is>
      </c>
      <c r="B40" s="12" t="inlineStr">
        <is>
          <t>Ciclo di Vita &amp; Workflow Editoriale</t>
        </is>
      </c>
      <c r="C40" s="12" t="inlineStr">
        <is>
          <t>Blueprint del corso</t>
        </is>
      </c>
      <c r="D40" s="12" t="inlineStr">
        <is>
          <t>Esistente</t>
        </is>
      </c>
      <c r="E40" s="12" t="inlineStr">
        <is>
          <t>Teacher / Dean</t>
        </is>
      </c>
      <c r="F40" s="12" t="n"/>
    </row>
    <row r="41" ht="15" customHeight="1" s="10">
      <c r="A41" s="12" t="inlineStr">
        <is>
          <t>3. Authoring &amp; Gestione Corsi</t>
        </is>
      </c>
      <c r="B41" s="12" t="inlineStr">
        <is>
          <t>Template &amp; Riuso</t>
        </is>
      </c>
      <c r="C41" s="12" t="inlineStr">
        <is>
          <t>Template di corso</t>
        </is>
      </c>
      <c r="D41" s="12" t="inlineStr">
        <is>
          <t>Esistente</t>
        </is>
      </c>
      <c r="E41" s="12" t="inlineStr">
        <is>
          <t>Teacher / Dean</t>
        </is>
      </c>
      <c r="F41" s="12" t="n"/>
    </row>
    <row r="42" ht="15" customHeight="1" s="10">
      <c r="A42" s="12" t="inlineStr">
        <is>
          <t>3. Authoring &amp; Gestione Corsi</t>
        </is>
      </c>
      <c r="B42" s="12" t="inlineStr">
        <is>
          <t>Template &amp; Riuso</t>
        </is>
      </c>
      <c r="C42" s="12" t="inlineStr">
        <is>
          <t>Varianti di contenuto</t>
        </is>
      </c>
      <c r="D42" s="12" t="inlineStr">
        <is>
          <t>Esistente</t>
        </is>
      </c>
      <c r="E42" s="12" t="inlineStr">
        <is>
          <t>Teacher / Dean</t>
        </is>
      </c>
      <c r="F42" s="12" t="n"/>
    </row>
    <row r="43" ht="15" customHeight="1" s="10">
      <c r="A43" s="12" t="inlineStr">
        <is>
          <t>3. Authoring &amp; Gestione Corsi</t>
        </is>
      </c>
      <c r="B43" s="12" t="inlineStr">
        <is>
          <t>Catalogo Corsi</t>
        </is>
      </c>
      <c r="C43" s="12" t="inlineStr">
        <is>
          <t>Catalogo e catalog explorer</t>
        </is>
      </c>
      <c r="D43" s="12" t="inlineStr">
        <is>
          <t>Esistente</t>
        </is>
      </c>
      <c r="E43" s="12" t="inlineStr">
        <is>
          <t>Teacher / Dean</t>
        </is>
      </c>
      <c r="F43" s="12" t="n"/>
    </row>
    <row r="44" ht="15" customHeight="1" s="10">
      <c r="A44" s="12" t="inlineStr">
        <is>
          <t>3. Authoring &amp; Gestione Corsi</t>
        </is>
      </c>
      <c r="B44" s="12" t="inlineStr">
        <is>
          <t>Catalogo Corsi</t>
        </is>
      </c>
      <c r="C44" s="12" t="inlineStr">
        <is>
          <t>Edizioni di catalogo</t>
        </is>
      </c>
      <c r="D44" s="12" t="inlineStr">
        <is>
          <t>Esistente</t>
        </is>
      </c>
      <c r="E44" s="12" t="inlineStr">
        <is>
          <t>Teacher / Dean</t>
        </is>
      </c>
      <c r="F44" s="12" t="n"/>
    </row>
    <row r="45" ht="15" customHeight="1" s="10">
      <c r="A45" s="12" t="inlineStr">
        <is>
          <t>3. Authoring &amp; Gestione Corsi</t>
        </is>
      </c>
      <c r="B45" s="12" t="inlineStr">
        <is>
          <t>Catalogo Corsi</t>
        </is>
      </c>
      <c r="C45" s="12" t="inlineStr">
        <is>
          <t>Course Factory (composizione assistita)</t>
        </is>
      </c>
      <c r="D45" s="12" t="inlineStr">
        <is>
          <t>Esistente</t>
        </is>
      </c>
      <c r="E45" s="12" t="inlineStr">
        <is>
          <t>Teacher / Dean</t>
        </is>
      </c>
      <c r="F45" s="12" t="n"/>
    </row>
    <row r="46" ht="15" customHeight="1" s="10">
      <c r="A46" s="12" t="inlineStr">
        <is>
          <t>3. Authoring &amp; Gestione Corsi</t>
        </is>
      </c>
      <c r="B46" s="12" t="inlineStr">
        <is>
          <t>Interscambio Corsi</t>
        </is>
      </c>
      <c r="C46" s="12" t="inlineStr">
        <is>
          <t>Import/export formato di scambio DLU (Course FEX)</t>
        </is>
      </c>
      <c r="D46" s="12" t="inlineStr">
        <is>
          <t>Esistente</t>
        </is>
      </c>
      <c r="E46" s="12" t="inlineStr">
        <is>
          <t>Teacher / Dean</t>
        </is>
      </c>
      <c r="F46" s="12" t="n"/>
    </row>
    <row r="47" ht="15" customHeight="1" s="10">
      <c r="A47" s="12" t="inlineStr">
        <is>
          <t>3. Authoring &amp; Gestione Corsi</t>
        </is>
      </c>
      <c r="B47" s="12" t="inlineStr">
        <is>
          <t>Interscambio Corsi</t>
        </is>
      </c>
      <c r="C47" s="12" t="inlineStr">
        <is>
          <t>Import legacy (PPTX/PDF → corso strutturato)</t>
        </is>
      </c>
      <c r="D47" s="12" t="inlineStr">
        <is>
          <t>Esistente</t>
        </is>
      </c>
      <c r="E47" s="12" t="inlineStr">
        <is>
          <t>Teacher / Dean</t>
        </is>
      </c>
      <c r="F47" s="12" t="n"/>
    </row>
    <row r="48" ht="15" customHeight="1" s="10">
      <c r="A48" s="13" t="inlineStr">
        <is>
          <t>3. Authoring &amp; Gestione Corsi</t>
        </is>
      </c>
      <c r="B48" s="13" t="inlineStr">
        <is>
          <t>Ciclo di Vita &amp; Workflow Editoriale</t>
        </is>
      </c>
      <c r="C48" s="13" t="inlineStr">
        <is>
          <t>Workflow di approvazione edizione catalogo (Dean→Provost, firma QES)</t>
        </is>
      </c>
      <c r="D48" s="13" t="inlineStr">
        <is>
          <t>Nuova</t>
        </is>
      </c>
      <c r="E48" s="13" t="inlineStr">
        <is>
          <t>Dean / Provost</t>
        </is>
      </c>
      <c r="F48" s="13" t="inlineStr">
        <is>
          <t>T6 · BOOK-24</t>
        </is>
      </c>
    </row>
    <row r="49" ht="15" customHeight="1" s="10">
      <c r="A49" s="13" t="inlineStr">
        <is>
          <t>3. Authoring &amp; Gestione Corsi</t>
        </is>
      </c>
      <c r="B49" s="13" t="inlineStr">
        <is>
          <t>Struttura del Corso</t>
        </is>
      </c>
      <c r="C49" s="13" t="inlineStr">
        <is>
          <t>Lineage incarico→corso (authoring engagement)</t>
        </is>
      </c>
      <c r="D49" s="13" t="inlineStr">
        <is>
          <t>Nuova</t>
        </is>
      </c>
      <c r="E49" s="13" t="inlineStr">
        <is>
          <t>Teacher</t>
        </is>
      </c>
      <c r="F49" s="13" t="inlineStr">
        <is>
          <t>T4 · BOOK-22</t>
        </is>
      </c>
    </row>
    <row r="50" ht="15" customHeight="1" s="10">
      <c r="A50" s="12" t="inlineStr">
        <is>
          <t>4. Generazione AI di Contenuti &amp; Media</t>
        </is>
      </c>
      <c r="B50" s="12" t="inlineStr">
        <is>
          <t>Generazione Corsi AI</t>
        </is>
      </c>
      <c r="C50" s="12" t="inlineStr">
        <is>
          <t>Course Factory (generazione da syllabus / file)</t>
        </is>
      </c>
      <c r="D50" s="12" t="inlineStr">
        <is>
          <t>Esistente</t>
        </is>
      </c>
      <c r="E50" s="12" t="inlineStr">
        <is>
          <t>Teacher</t>
        </is>
      </c>
      <c r="F50" s="12" t="n"/>
    </row>
    <row r="51" ht="15" customHeight="1" s="10">
      <c r="A51" s="12" t="inlineStr">
        <is>
          <t>4. Generazione AI di Contenuti &amp; Media</t>
        </is>
      </c>
      <c r="B51" s="12" t="inlineStr">
        <is>
          <t>Generazione Corsi AI</t>
        </is>
      </c>
      <c r="C51" s="12" t="inlineStr">
        <is>
          <t>Pipeline import legacy (3 fasi con gate di review)</t>
        </is>
      </c>
      <c r="D51" s="12" t="inlineStr">
        <is>
          <t>Esistente</t>
        </is>
      </c>
      <c r="E51" s="12" t="inlineStr">
        <is>
          <t>Teacher</t>
        </is>
      </c>
      <c r="F51" s="12" t="n"/>
    </row>
    <row r="52" ht="15" customHeight="1" s="10">
      <c r="A52" s="12" t="inlineStr">
        <is>
          <t>4. Generazione AI di Contenuti &amp; Media</t>
        </is>
      </c>
      <c r="B52" s="12" t="inlineStr">
        <is>
          <t>Generazione Corsi AI</t>
        </is>
      </c>
      <c r="C52" s="12" t="inlineStr">
        <is>
          <t>Architetto del corso / planner legacy→DLU</t>
        </is>
      </c>
      <c r="D52" s="12" t="inlineStr">
        <is>
          <t>Esistente</t>
        </is>
      </c>
      <c r="E52" s="12" t="inlineStr">
        <is>
          <t>Teacher</t>
        </is>
      </c>
      <c r="F52" s="12" t="n"/>
    </row>
    <row r="53" ht="15" customHeight="1" s="10">
      <c r="A53" s="12" t="inlineStr">
        <is>
          <t>4. Generazione AI di Contenuti &amp; Media</t>
        </is>
      </c>
      <c r="B53" s="12" t="inlineStr">
        <is>
          <t>Enrichment Multimediale</t>
        </is>
      </c>
      <c r="C53" s="12" t="inlineStr">
        <is>
          <t>Generazione immagini</t>
        </is>
      </c>
      <c r="D53" s="12" t="inlineStr">
        <is>
          <t>Esistente</t>
        </is>
      </c>
      <c r="E53" s="12" t="inlineStr">
        <is>
          <t>Teacher</t>
        </is>
      </c>
      <c r="F53" s="12" t="n"/>
    </row>
    <row r="54" ht="15" customHeight="1" s="10">
      <c r="A54" s="12" t="inlineStr">
        <is>
          <t>4. Generazione AI di Contenuti &amp; Media</t>
        </is>
      </c>
      <c r="B54" s="12" t="inlineStr">
        <is>
          <t>Enrichment Multimediale</t>
        </is>
      </c>
      <c r="C54" s="12" t="inlineStr">
        <is>
          <t>Generazione audio / TTS</t>
        </is>
      </c>
      <c r="D54" s="12" t="inlineStr">
        <is>
          <t>Esistente</t>
        </is>
      </c>
      <c r="E54" s="12" t="inlineStr">
        <is>
          <t>Teacher</t>
        </is>
      </c>
      <c r="F54" s="12" t="n"/>
    </row>
    <row r="55" ht="15" customHeight="1" s="10">
      <c r="A55" s="12" t="inlineStr">
        <is>
          <t>4. Generazione AI di Contenuti &amp; Media</t>
        </is>
      </c>
      <c r="B55" s="12" t="inlineStr">
        <is>
          <t>Enrichment Multimediale</t>
        </is>
      </c>
      <c r="C55" s="12" t="inlineStr">
        <is>
          <t>Generazione e gestione video</t>
        </is>
      </c>
      <c r="D55" s="12" t="inlineStr">
        <is>
          <t>Esistente</t>
        </is>
      </c>
      <c r="E55" s="12" t="inlineStr">
        <is>
          <t>Teacher</t>
        </is>
      </c>
      <c r="F55" s="12" t="n"/>
    </row>
    <row r="56" ht="15" customHeight="1" s="10">
      <c r="A56" s="12" t="inlineStr">
        <is>
          <t>4. Generazione AI di Contenuti &amp; Media</t>
        </is>
      </c>
      <c r="B56" s="12" t="inlineStr">
        <is>
          <t>Enrichment Multimediale</t>
        </is>
      </c>
      <c r="C56" s="12" t="inlineStr">
        <is>
          <t>Avatar Studio / Video Professor (HeyGen)</t>
        </is>
      </c>
      <c r="D56" s="12" t="inlineStr">
        <is>
          <t>Esistente</t>
        </is>
      </c>
      <c r="E56" s="12" t="inlineStr">
        <is>
          <t>Teacher</t>
        </is>
      </c>
      <c r="F56" s="12" t="n"/>
    </row>
    <row r="57" ht="15" customHeight="1" s="10">
      <c r="A57" s="12" t="inlineStr">
        <is>
          <t>4. Generazione AI di Contenuti &amp; Media</t>
        </is>
      </c>
      <c r="B57" s="12" t="inlineStr">
        <is>
          <t>Enrichment Multimediale</t>
        </is>
      </c>
      <c r="C57" s="12" t="inlineStr">
        <is>
          <t>Trascrizione</t>
        </is>
      </c>
      <c r="D57" s="12" t="inlineStr">
        <is>
          <t>Esistente</t>
        </is>
      </c>
      <c r="E57" s="12" t="inlineStr">
        <is>
          <t>Teacher</t>
        </is>
      </c>
      <c r="F57" s="12" t="n"/>
    </row>
    <row r="58" ht="15" customHeight="1" s="10">
      <c r="A58" s="12" t="inlineStr">
        <is>
          <t>4. Generazione AI di Contenuti &amp; Media</t>
        </is>
      </c>
      <c r="B58" s="12" t="inlineStr">
        <is>
          <t>Contenuti Interattivi</t>
        </is>
      </c>
      <c r="C58" s="12" t="inlineStr">
        <is>
          <t>Generazione quiz</t>
        </is>
      </c>
      <c r="D58" s="12" t="inlineStr">
        <is>
          <t>Esistente</t>
        </is>
      </c>
      <c r="E58" s="12" t="inlineStr">
        <is>
          <t>Teacher</t>
        </is>
      </c>
      <c r="F58" s="12" t="n"/>
    </row>
    <row r="59" ht="15" customHeight="1" s="10">
      <c r="A59" s="12" t="inlineStr">
        <is>
          <t>4. Generazione AI di Contenuti &amp; Media</t>
        </is>
      </c>
      <c r="B59" s="12" t="inlineStr">
        <is>
          <t>Contenuti Interattivi</t>
        </is>
      </c>
      <c r="C59" s="12" t="inlineStr">
        <is>
          <t>Generazione lab / codice</t>
        </is>
      </c>
      <c r="D59" s="12" t="inlineStr">
        <is>
          <t>Esistente</t>
        </is>
      </c>
      <c r="E59" s="12" t="inlineStr">
        <is>
          <t>Teacher</t>
        </is>
      </c>
      <c r="F59" s="12" t="n"/>
    </row>
    <row r="60" ht="15" customHeight="1" s="10">
      <c r="A60" s="12" t="inlineStr">
        <is>
          <t>4. Generazione AI di Contenuti &amp; Media</t>
        </is>
      </c>
      <c r="B60" s="12" t="inlineStr">
        <is>
          <t>Contenuti Interattivi</t>
        </is>
      </c>
      <c r="C60" s="12" t="inlineStr">
        <is>
          <t>Espansione e variazione testo</t>
        </is>
      </c>
      <c r="D60" s="12" t="inlineStr">
        <is>
          <t>Esistente</t>
        </is>
      </c>
      <c r="E60" s="12" t="inlineStr">
        <is>
          <t>Teacher</t>
        </is>
      </c>
      <c r="F60" s="12" t="n"/>
    </row>
    <row r="61" ht="15" customHeight="1" s="10">
      <c r="A61" s="12" t="inlineStr">
        <is>
          <t>4. Generazione AI di Contenuti &amp; Media</t>
        </is>
      </c>
      <c r="B61" s="12" t="inlineStr">
        <is>
          <t>RAG &amp; Grounding</t>
        </is>
      </c>
      <c r="C61" s="12" t="inlineStr">
        <is>
          <t>Pipeline RAG</t>
        </is>
      </c>
      <c r="D61" s="12" t="inlineStr">
        <is>
          <t>Esistente</t>
        </is>
      </c>
      <c r="E61" s="12" t="inlineStr">
        <is>
          <t>Teacher</t>
        </is>
      </c>
      <c r="F61" s="12" t="n"/>
    </row>
    <row r="62" ht="15" customHeight="1" s="10">
      <c r="A62" s="12" t="inlineStr">
        <is>
          <t>4. Generazione AI di Contenuti &amp; Media</t>
        </is>
      </c>
      <c r="B62" s="12" t="inlineStr">
        <is>
          <t>RAG &amp; Grounding</t>
        </is>
      </c>
      <c r="C62" s="12" t="inlineStr">
        <is>
          <t>GraphRAG (grounding su Knowledge Graph)</t>
        </is>
      </c>
      <c r="D62" s="12" t="inlineStr">
        <is>
          <t>Esistente</t>
        </is>
      </c>
      <c r="E62" s="12" t="inlineStr">
        <is>
          <t>Teacher</t>
        </is>
      </c>
      <c r="F62" s="12" t="n"/>
    </row>
    <row r="63" ht="15" customHeight="1" s="10">
      <c r="A63" s="12" t="inlineStr">
        <is>
          <t>4. Generazione AI di Contenuti &amp; Media</t>
        </is>
      </c>
      <c r="B63" s="12" t="inlineStr">
        <is>
          <t>RAG &amp; Grounding</t>
        </is>
      </c>
      <c r="C63" s="12" t="inlineStr">
        <is>
          <t>Upload risorse per RAG</t>
        </is>
      </c>
      <c r="D63" s="12" t="inlineStr">
        <is>
          <t>Esistente</t>
        </is>
      </c>
      <c r="E63" s="12" t="inlineStr">
        <is>
          <t>Teacher</t>
        </is>
      </c>
      <c r="F63" s="12" t="n"/>
    </row>
    <row r="64" ht="15" customHeight="1" s="10">
      <c r="A64" s="12" t="inlineStr">
        <is>
          <t>5. AI Governance &amp; LLM Management</t>
        </is>
      </c>
      <c r="B64" s="12" t="inlineStr">
        <is>
          <t>Gestione Provider LLM</t>
        </is>
      </c>
      <c r="C64" s="12" t="inlineStr">
        <is>
          <t>Configurazione provider LLM</t>
        </is>
      </c>
      <c r="D64" s="12" t="inlineStr">
        <is>
          <t>Esistente</t>
        </is>
      </c>
      <c r="E64" s="12" t="inlineStr">
        <is>
          <t>Admin AI Engineering</t>
        </is>
      </c>
      <c r="F64" s="12" t="n"/>
    </row>
    <row r="65" ht="15" customHeight="1" s="10">
      <c r="A65" s="12" t="inlineStr">
        <is>
          <t>5. AI Governance &amp; LLM Management</t>
        </is>
      </c>
      <c r="B65" s="12" t="inlineStr">
        <is>
          <t>Gestione Provider LLM</t>
        </is>
      </c>
      <c r="C65" s="12" t="inlineStr">
        <is>
          <t>Tracciamento utilizzo LLM</t>
        </is>
      </c>
      <c r="D65" s="12" t="inlineStr">
        <is>
          <t>Esistente</t>
        </is>
      </c>
      <c r="E65" s="12" t="inlineStr">
        <is>
          <t>Admin AI Engineering</t>
        </is>
      </c>
      <c r="F65" s="12" t="n"/>
    </row>
    <row r="66" ht="15" customHeight="1" s="10">
      <c r="A66" s="12" t="inlineStr">
        <is>
          <t>5. AI Governance &amp; LLM Management</t>
        </is>
      </c>
      <c r="B66" s="12" t="inlineStr">
        <is>
          <t>Gestione Provider LLM</t>
        </is>
      </c>
      <c r="C66" s="12" t="inlineStr">
        <is>
          <t>Gateway ACP (LiteLLM) — chiavi virtuali per tenant</t>
        </is>
      </c>
      <c r="D66" s="12" t="inlineStr">
        <is>
          <t>Esistente</t>
        </is>
      </c>
      <c r="E66" s="12" t="inlineStr">
        <is>
          <t>Admin AI Engineering</t>
        </is>
      </c>
      <c r="F66" s="12" t="n"/>
    </row>
    <row r="67" ht="15" customHeight="1" s="10">
      <c r="A67" s="12" t="inlineStr">
        <is>
          <t>5. AI Governance &amp; LLM Management</t>
        </is>
      </c>
      <c r="B67" s="12" t="inlineStr">
        <is>
          <t>Gestione Provider LLM</t>
        </is>
      </c>
      <c r="C67" s="12" t="inlineStr">
        <is>
          <t>Quote, budget e catene di fallback</t>
        </is>
      </c>
      <c r="D67" s="12" t="inlineStr">
        <is>
          <t>Esistente</t>
        </is>
      </c>
      <c r="E67" s="12" t="inlineStr">
        <is>
          <t>Admin AI Engineering</t>
        </is>
      </c>
      <c r="F67" s="12" t="n"/>
    </row>
    <row r="68" ht="15" customHeight="1" s="10">
      <c r="A68" s="12" t="inlineStr">
        <is>
          <t>5. AI Governance &amp; LLM Management</t>
        </is>
      </c>
      <c r="B68" s="12" t="inlineStr">
        <is>
          <t>Governance AI</t>
        </is>
      </c>
      <c r="C68" s="12" t="inlineStr">
        <is>
          <t>Registro AI Act</t>
        </is>
      </c>
      <c r="D68" s="12" t="inlineStr">
        <is>
          <t>Esistente</t>
        </is>
      </c>
      <c r="E68" s="12" t="inlineStr">
        <is>
          <t>Admin AI Engineering</t>
        </is>
      </c>
      <c r="F68" s="12" t="n"/>
    </row>
    <row r="69" ht="15" customHeight="1" s="10">
      <c r="A69" s="12" t="inlineStr">
        <is>
          <t>5. AI Governance &amp; LLM Management</t>
        </is>
      </c>
      <c r="B69" s="12" t="inlineStr">
        <is>
          <t>Governance AI</t>
        </is>
      </c>
      <c r="C69" s="12" t="inlineStr">
        <is>
          <t>Policy e governance dei modelli</t>
        </is>
      </c>
      <c r="D69" s="12" t="inlineStr">
        <is>
          <t>Esistente</t>
        </is>
      </c>
      <c r="E69" s="12" t="inlineStr">
        <is>
          <t>Admin AI Engineering</t>
        </is>
      </c>
      <c r="F69" s="12" t="n"/>
    </row>
    <row r="70" ht="15" customHeight="1" s="10">
      <c r="A70" s="12" t="inlineStr">
        <is>
          <t>5. AI Governance &amp; LLM Management</t>
        </is>
      </c>
      <c r="B70" s="12" t="inlineStr">
        <is>
          <t>Governance AI</t>
        </is>
      </c>
      <c r="C70" s="12" t="inlineStr">
        <is>
          <t>Proposte AI (propose/accept)</t>
        </is>
      </c>
      <c r="D70" s="12" t="inlineStr">
        <is>
          <t>Esistente</t>
        </is>
      </c>
      <c r="E70" s="12" t="inlineStr">
        <is>
          <t>Admin AI Engineering</t>
        </is>
      </c>
      <c r="F70" s="12" t="n"/>
    </row>
    <row r="71" ht="15" customHeight="1" s="10">
      <c r="A71" s="12" t="inlineStr">
        <is>
          <t>5. AI Governance &amp; LLM Management</t>
        </is>
      </c>
      <c r="B71" s="12" t="inlineStr">
        <is>
          <t>Governance AI</t>
        </is>
      </c>
      <c r="C71" s="12" t="inlineStr">
        <is>
          <t>Attribuzione costi</t>
        </is>
      </c>
      <c r="D71" s="12" t="inlineStr">
        <is>
          <t>Esistente</t>
        </is>
      </c>
      <c r="E71" s="12" t="inlineStr">
        <is>
          <t>Admin AI Engineering</t>
        </is>
      </c>
      <c r="F71" s="12" t="n"/>
    </row>
    <row r="72" ht="15" customHeight="1" s="10">
      <c r="A72" s="12" t="inlineStr">
        <is>
          <t>5. AI Governance &amp; LLM Management</t>
        </is>
      </c>
      <c r="B72" s="12" t="inlineStr">
        <is>
          <t>Agenti &amp; Orchestrazione</t>
        </is>
      </c>
      <c r="C72" s="12" t="inlineStr">
        <is>
          <t>Orchestratore di agenti AI</t>
        </is>
      </c>
      <c r="D72" s="12" t="inlineStr">
        <is>
          <t>Esistente</t>
        </is>
      </c>
      <c r="E72" s="12" t="inlineStr">
        <is>
          <t>Admin AI Engineering</t>
        </is>
      </c>
      <c r="F72" s="12" t="n"/>
    </row>
    <row r="73" ht="15" customHeight="1" s="10">
      <c r="A73" s="12" t="inlineStr">
        <is>
          <t>5. AI Governance &amp; LLM Management</t>
        </is>
      </c>
      <c r="B73" s="12" t="inlineStr">
        <is>
          <t>Agenti &amp; Orchestrazione</t>
        </is>
      </c>
      <c r="C73" s="12" t="inlineStr">
        <is>
          <t>Servizio MCP</t>
        </is>
      </c>
      <c r="D73" s="12" t="inlineStr">
        <is>
          <t>Esistente</t>
        </is>
      </c>
      <c r="E73" s="12" t="inlineStr">
        <is>
          <t>Admin AI Engineering</t>
        </is>
      </c>
      <c r="F73" s="12" t="n"/>
    </row>
    <row r="74" ht="15" customHeight="1" s="10">
      <c r="A74" s="12" t="inlineStr">
        <is>
          <t>5. AI Governance &amp; LLM Management</t>
        </is>
      </c>
      <c r="B74" s="12" t="inlineStr">
        <is>
          <t>Agenti &amp; Orchestrazione</t>
        </is>
      </c>
      <c r="C74" s="12" t="inlineStr">
        <is>
          <t>Workflow orchestrator</t>
        </is>
      </c>
      <c r="D74" s="12" t="inlineStr">
        <is>
          <t>Esistente</t>
        </is>
      </c>
      <c r="E74" s="12" t="inlineStr">
        <is>
          <t>Admin AI Engineering</t>
        </is>
      </c>
      <c r="F74" s="12" t="n"/>
    </row>
    <row r="75" ht="15" customHeight="1" s="10">
      <c r="A75" s="13" t="inlineStr">
        <is>
          <t>5. AI Governance &amp; LLM Management</t>
        </is>
      </c>
      <c r="B75" s="13" t="inlineStr">
        <is>
          <t>Governance AI</t>
        </is>
      </c>
      <c r="C75" s="13" t="inlineStr">
        <is>
          <t>Eval harness: dataset golden, run, GA gate pre-release</t>
        </is>
      </c>
      <c r="D75" s="13" t="inlineStr">
        <is>
          <t>Nuova</t>
        </is>
      </c>
      <c r="E75" s="13" t="inlineStr">
        <is>
          <t>Admin AI Engineering</t>
        </is>
      </c>
      <c r="F75" s="13" t="inlineStr">
        <is>
          <t>T11 · BOOK-11 agg.</t>
        </is>
      </c>
    </row>
    <row r="76" ht="15" customHeight="1" s="10">
      <c r="A76" s="13" t="inlineStr">
        <is>
          <t>5. AI Governance &amp; LLM Management</t>
        </is>
      </c>
      <c r="B76" s="13" t="inlineStr">
        <is>
          <t>Governance AI</t>
        </is>
      </c>
      <c r="C76" s="13" t="inlineStr">
        <is>
          <t>Versionamento e rollout controllato di preset/prompt</t>
        </is>
      </c>
      <c r="D76" s="13" t="inlineStr">
        <is>
          <t>Nuova</t>
        </is>
      </c>
      <c r="E76" s="13" t="inlineStr">
        <is>
          <t>Admin AI Engineering</t>
        </is>
      </c>
      <c r="F76" s="13" t="inlineStr">
        <is>
          <t>T11</t>
        </is>
      </c>
    </row>
    <row r="77" ht="15" customHeight="1" s="10">
      <c r="A77" s="14" t="inlineStr">
        <is>
          <t>5. AI Governance &amp; LLM Management</t>
        </is>
      </c>
      <c r="B77" s="14" t="inlineStr">
        <is>
          <t>Agenti &amp; Orchestrazione</t>
        </is>
      </c>
      <c r="C77" s="14" t="inlineStr">
        <is>
          <t>Agente Student Companion consolidato (missioni, nudging, obiettivi — propose-only)</t>
        </is>
      </c>
      <c r="D77" s="14" t="inlineStr">
        <is>
          <t>Nuova</t>
        </is>
      </c>
      <c r="E77" s="14" t="inlineStr">
        <is>
          <t>Student / Admin AI Eng</t>
        </is>
      </c>
      <c r="F77" s="14" t="inlineStr">
        <is>
          <t>BOOK-10A+ · NEW-31</t>
        </is>
      </c>
    </row>
    <row r="78" ht="15" customHeight="1" s="10">
      <c r="A78" s="14" t="inlineStr">
        <is>
          <t>5. AI Governance &amp; LLM Management</t>
        </is>
      </c>
      <c r="B78" s="14" t="inlineStr">
        <is>
          <t>Agenti &amp; Orchestrazione</t>
        </is>
      </c>
      <c r="C78" s="14" t="inlineStr">
        <is>
          <t>Agente Faculty Assistant (authoring, teaching ops, registro — propose-only)</t>
        </is>
      </c>
      <c r="D78" s="14" t="inlineStr">
        <is>
          <t>Nuova</t>
        </is>
      </c>
      <c r="E78" s="14" t="inlineStr">
        <is>
          <t>Teacher / Admin AI Eng</t>
        </is>
      </c>
      <c r="F78" s="14" t="inlineStr">
        <is>
          <t>BOOK-10A+ · NEW-31</t>
        </is>
      </c>
    </row>
    <row r="79" ht="15" customHeight="1" s="10">
      <c r="A79" s="14" t="inlineStr">
        <is>
          <t>5. AI Governance &amp; LLM Management</t>
        </is>
      </c>
      <c r="B79" s="14" t="inlineStr">
        <is>
          <t>Agenti &amp; Orchestrazione</t>
        </is>
      </c>
      <c r="C79" s="14" t="inlineStr">
        <is>
          <t>Agente Admin Copilot back-office (pratiche, certificati, fascicoli)</t>
        </is>
      </c>
      <c r="D79" s="14" t="inlineStr">
        <is>
          <t>Nuova</t>
        </is>
      </c>
      <c r="E79" s="14" t="inlineStr">
        <is>
          <t>BackOffice / Admin AI Eng</t>
        </is>
      </c>
      <c r="F79" s="14" t="inlineStr">
        <is>
          <t>BOOK-10A+ · NEW-31</t>
        </is>
      </c>
    </row>
    <row r="80" ht="15" customHeight="1" s="10">
      <c r="A80" s="14" t="inlineStr">
        <is>
          <t>5. AI Governance &amp; LLM Management</t>
        </is>
      </c>
      <c r="B80" s="14" t="inlineStr">
        <is>
          <t>Agenti &amp; Orchestrazione</t>
        </is>
      </c>
      <c r="C80" s="14" t="inlineStr">
        <is>
          <t>Agente CFO Analyst (narrative variance/forecast, propose-only)</t>
        </is>
      </c>
      <c r="D80" s="14" t="inlineStr">
        <is>
          <t>Nuova</t>
        </is>
      </c>
      <c r="E80" s="14" t="inlineStr">
        <is>
          <t>CFO / Admin AI Eng</t>
        </is>
      </c>
      <c r="F80" s="14" t="inlineStr">
        <is>
          <t>BOOK-10A+ · NEW-31</t>
        </is>
      </c>
    </row>
    <row r="81" ht="15" customHeight="1" s="10">
      <c r="A81" s="12" t="inlineStr">
        <is>
          <t>6. Knowledge Graph &amp; Ontologia</t>
        </is>
      </c>
      <c r="B81" s="12" t="inlineStr">
        <is>
          <t>Costruzione del Grafo</t>
        </is>
      </c>
      <c r="C81" s="12" t="inlineStr">
        <is>
          <t>Estrazione NLP dei concetti</t>
        </is>
      </c>
      <c r="D81" s="12" t="inlineStr">
        <is>
          <t>Esistente</t>
        </is>
      </c>
      <c r="E81" s="12" t="inlineStr">
        <is>
          <t>Dean / Admin AI Eng</t>
        </is>
      </c>
      <c r="F81" s="12" t="n"/>
    </row>
    <row r="82" ht="15" customHeight="1" s="10">
      <c r="A82" s="12" t="inlineStr">
        <is>
          <t>6. Knowledge Graph &amp; Ontologia</t>
        </is>
      </c>
      <c r="B82" s="12" t="inlineStr">
        <is>
          <t>Costruzione del Grafo</t>
        </is>
      </c>
      <c r="C82" s="12" t="inlineStr">
        <is>
          <t>Build &amp; sync del Knowledge Graph (Neo4j)</t>
        </is>
      </c>
      <c r="D82" s="12" t="inlineStr">
        <is>
          <t>Esistente</t>
        </is>
      </c>
      <c r="E82" s="12" t="inlineStr">
        <is>
          <t>Dean / Admin AI Eng</t>
        </is>
      </c>
      <c r="F82" s="12" t="n"/>
    </row>
    <row r="83" ht="15" customHeight="1" s="10">
      <c r="A83" s="12" t="inlineStr">
        <is>
          <t>6. Knowledge Graph &amp; Ontologia</t>
        </is>
      </c>
      <c r="B83" s="12" t="inlineStr">
        <is>
          <t>Costruzione del Grafo</t>
        </is>
      </c>
      <c r="C83" s="12" t="inlineStr">
        <is>
          <t>Event bus / overlay sync</t>
        </is>
      </c>
      <c r="D83" s="12" t="inlineStr">
        <is>
          <t>Esistente</t>
        </is>
      </c>
      <c r="E83" s="12" t="inlineStr">
        <is>
          <t>Dean / Admin AI Eng</t>
        </is>
      </c>
      <c r="F83" s="12" t="n"/>
    </row>
    <row r="84" ht="15" customHeight="1" s="10">
      <c r="A84" s="12" t="inlineStr">
        <is>
          <t>6. Knowledge Graph &amp; Ontologia</t>
        </is>
      </c>
      <c r="B84" s="12" t="inlineStr">
        <is>
          <t>Interrogazione &amp; Ontologia</t>
        </is>
      </c>
      <c r="C84" s="12" t="inlineStr">
        <is>
          <t>Query sul grafo</t>
        </is>
      </c>
      <c r="D84" s="12" t="inlineStr">
        <is>
          <t>Esistente</t>
        </is>
      </c>
      <c r="E84" s="12" t="inlineStr">
        <is>
          <t>Dean / Admin AI Eng</t>
        </is>
      </c>
      <c r="F84" s="12" t="n"/>
    </row>
    <row r="85" ht="15" customHeight="1" s="10">
      <c r="A85" s="12" t="inlineStr">
        <is>
          <t>6. Knowledge Graph &amp; Ontologia</t>
        </is>
      </c>
      <c r="B85" s="12" t="inlineStr">
        <is>
          <t>Interrogazione &amp; Ontologia</t>
        </is>
      </c>
      <c r="C85" s="12" t="inlineStr">
        <is>
          <t>Ontologia (registry dlu-core.yaml)</t>
        </is>
      </c>
      <c r="D85" s="12" t="inlineStr">
        <is>
          <t>Esistente</t>
        </is>
      </c>
      <c r="E85" s="12" t="inlineStr">
        <is>
          <t>Dean / Admin AI Eng</t>
        </is>
      </c>
      <c r="F85" s="12" t="n"/>
    </row>
    <row r="86" ht="15" customHeight="1" s="10">
      <c r="A86" s="12" t="inlineStr">
        <is>
          <t>6. Knowledge Graph &amp; Ontologia</t>
        </is>
      </c>
      <c r="B86" s="12" t="inlineStr">
        <is>
          <t>Interrogazione &amp; Ontologia</t>
        </is>
      </c>
      <c r="C86" s="12" t="inlineStr">
        <is>
          <t>Grafo delle competenze</t>
        </is>
      </c>
      <c r="D86" s="12" t="inlineStr">
        <is>
          <t>Esistente</t>
        </is>
      </c>
      <c r="E86" s="12" t="inlineStr">
        <is>
          <t>Dean / Admin AI Eng</t>
        </is>
      </c>
      <c r="F86" s="12" t="n"/>
    </row>
    <row r="87" ht="15" customHeight="1" s="10">
      <c r="A87" s="12" t="inlineStr">
        <is>
          <t>6. Knowledge Graph &amp; Ontologia</t>
        </is>
      </c>
      <c r="B87" s="12" t="inlineStr">
        <is>
          <t>Interrogazione &amp; Ontologia</t>
        </is>
      </c>
      <c r="C87" s="12" t="inlineStr">
        <is>
          <t>Export del grafo</t>
        </is>
      </c>
      <c r="D87" s="12" t="inlineStr">
        <is>
          <t>Esistente</t>
        </is>
      </c>
      <c r="E87" s="12" t="inlineStr">
        <is>
          <t>Dean / Admin AI Eng</t>
        </is>
      </c>
      <c r="F87" s="12" t="n"/>
    </row>
    <row r="88" ht="15" customHeight="1" s="10">
      <c r="A88" s="12" t="inlineStr">
        <is>
          <t>6. Knowledge Graph &amp; Ontologia</t>
        </is>
      </c>
      <c r="B88" s="12" t="inlineStr">
        <is>
          <t>Applicazioni</t>
        </is>
      </c>
      <c r="C88" s="12" t="inlineStr">
        <is>
          <t>Curriculum map</t>
        </is>
      </c>
      <c r="D88" s="12" t="inlineStr">
        <is>
          <t>Esistente</t>
        </is>
      </c>
      <c r="E88" s="12" t="inlineStr">
        <is>
          <t>Dean / Admin AI Eng</t>
        </is>
      </c>
      <c r="F88" s="12" t="n"/>
    </row>
    <row r="89" ht="15" customHeight="1" s="10">
      <c r="A89" s="12" t="inlineStr">
        <is>
          <t>6. Knowledge Graph &amp; Ontologia</t>
        </is>
      </c>
      <c r="B89" s="12" t="inlineStr">
        <is>
          <t>Applicazioni</t>
        </is>
      </c>
      <c r="C89" s="12" t="inlineStr">
        <is>
          <t>Ricerca semantica / raccomandazione concetti</t>
        </is>
      </c>
      <c r="D89" s="12" t="inlineStr">
        <is>
          <t>Esistente</t>
        </is>
      </c>
      <c r="E89" s="12" t="inlineStr">
        <is>
          <t>Dean / Admin AI Eng</t>
        </is>
      </c>
      <c r="F89" s="12" t="n"/>
    </row>
    <row r="90" ht="15" customHeight="1" s="10">
      <c r="A90" s="12" t="inlineStr">
        <is>
          <t>7. Learning Outcomes &amp; Curriculum</t>
        </is>
      </c>
      <c r="B90" s="12" t="inlineStr">
        <is>
          <t>Learning Outcomes</t>
        </is>
      </c>
      <c r="C90" s="12" t="inlineStr">
        <is>
          <t>ILO / PLO / CLO e allineamenti</t>
        </is>
      </c>
      <c r="D90" s="12" t="inlineStr">
        <is>
          <t>Esistente</t>
        </is>
      </c>
      <c r="E90" s="12" t="inlineStr">
        <is>
          <t>Dean / Provost</t>
        </is>
      </c>
      <c r="F90" s="12" t="n"/>
    </row>
    <row r="91" ht="15" customHeight="1" s="10">
      <c r="A91" s="12" t="inlineStr">
        <is>
          <t>7. Learning Outcomes &amp; Curriculum</t>
        </is>
      </c>
      <c r="B91" s="12" t="inlineStr">
        <is>
          <t>Learning Outcomes</t>
        </is>
      </c>
      <c r="C91" s="12" t="inlineStr">
        <is>
          <t>Framework degli outcome (PI1)</t>
        </is>
      </c>
      <c r="D91" s="12" t="inlineStr">
        <is>
          <t>Esistente</t>
        </is>
      </c>
      <c r="E91" s="12" t="inlineStr">
        <is>
          <t>Dean / Provost</t>
        </is>
      </c>
      <c r="F91" s="12" t="n"/>
    </row>
    <row r="92" ht="15" customHeight="1" s="10">
      <c r="A92" s="12" t="inlineStr">
        <is>
          <t>7. Learning Outcomes &amp; Curriculum</t>
        </is>
      </c>
      <c r="B92" s="12" t="inlineStr">
        <is>
          <t>Learning Outcomes</t>
        </is>
      </c>
      <c r="C92" s="12" t="inlineStr">
        <is>
          <t>Allineamento outcome (QA)</t>
        </is>
      </c>
      <c r="D92" s="12" t="inlineStr">
        <is>
          <t>Esistente</t>
        </is>
      </c>
      <c r="E92" s="12" t="inlineStr">
        <is>
          <t>Dean / Provost</t>
        </is>
      </c>
      <c r="F92" s="12" t="n"/>
    </row>
    <row r="93" ht="15" customHeight="1" s="10">
      <c r="A93" s="12" t="inlineStr">
        <is>
          <t>7. Learning Outcomes &amp; Curriculum</t>
        </is>
      </c>
      <c r="B93" s="12" t="inlineStr">
        <is>
          <t>Curriculum &amp; Programmi</t>
        </is>
      </c>
      <c r="C93" s="12" t="inlineStr">
        <is>
          <t>Programmi di studio</t>
        </is>
      </c>
      <c r="D93" s="12" t="inlineStr">
        <is>
          <t>Esistente</t>
        </is>
      </c>
      <c r="E93" s="12" t="inlineStr">
        <is>
          <t>Dean / Provost</t>
        </is>
      </c>
      <c r="F93" s="12" t="n"/>
    </row>
    <row r="94" ht="15" customHeight="1" s="10">
      <c r="A94" s="12" t="inlineStr">
        <is>
          <t>7. Learning Outcomes &amp; Curriculum</t>
        </is>
      </c>
      <c r="B94" s="12" t="inlineStr">
        <is>
          <t>Curriculum &amp; Programmi</t>
        </is>
      </c>
      <c r="C94" s="12" t="inlineStr">
        <is>
          <t>Mappatura curriculum</t>
        </is>
      </c>
      <c r="D94" s="12" t="inlineStr">
        <is>
          <t>Esistente</t>
        </is>
      </c>
      <c r="E94" s="12" t="inlineStr">
        <is>
          <t>Dean / Provost</t>
        </is>
      </c>
      <c r="F94" s="12" t="n"/>
    </row>
    <row r="95" ht="15" customHeight="1" s="10">
      <c r="A95" s="12" t="inlineStr">
        <is>
          <t>7. Learning Outcomes &amp; Curriculum</t>
        </is>
      </c>
      <c r="B95" s="12" t="inlineStr">
        <is>
          <t>Curriculum &amp; Programmi</t>
        </is>
      </c>
      <c r="C95" s="12" t="inlineStr">
        <is>
          <t>Audit del curriculum</t>
        </is>
      </c>
      <c r="D95" s="12" t="inlineStr">
        <is>
          <t>Esistente</t>
        </is>
      </c>
      <c r="E95" s="12" t="inlineStr">
        <is>
          <t>Dean / Provost</t>
        </is>
      </c>
      <c r="F95" s="12" t="n"/>
    </row>
    <row r="96" ht="15" customHeight="1" s="10">
      <c r="A96" s="12" t="inlineStr">
        <is>
          <t>7. Learning Outcomes &amp; Curriculum</t>
        </is>
      </c>
      <c r="B96" s="12" t="inlineStr">
        <is>
          <t>Curriculum &amp; Programmi</t>
        </is>
      </c>
      <c r="C96" s="12" t="inlineStr">
        <is>
          <t>Prerequisiti</t>
        </is>
      </c>
      <c r="D96" s="12" t="inlineStr">
        <is>
          <t>Esistente</t>
        </is>
      </c>
      <c r="E96" s="12" t="inlineStr">
        <is>
          <t>Dean / Provost</t>
        </is>
      </c>
      <c r="F96" s="12" t="n"/>
    </row>
    <row r="97" ht="15" customHeight="1" s="10">
      <c r="A97" s="12" t="inlineStr">
        <is>
          <t>7. Learning Outcomes &amp; Curriculum</t>
        </is>
      </c>
      <c r="B97" s="12" t="inlineStr">
        <is>
          <t>Competenze</t>
        </is>
      </c>
      <c r="C97" s="12" t="inlineStr">
        <is>
          <t>Libreria competenze</t>
        </is>
      </c>
      <c r="D97" s="12" t="inlineStr">
        <is>
          <t>Esistente</t>
        </is>
      </c>
      <c r="E97" s="12" t="inlineStr">
        <is>
          <t>Dean / Provost</t>
        </is>
      </c>
      <c r="F97" s="12" t="n"/>
    </row>
    <row r="98" ht="15" customHeight="1" s="10">
      <c r="A98" s="12" t="inlineStr">
        <is>
          <t>7. Learning Outcomes &amp; Curriculum</t>
        </is>
      </c>
      <c r="B98" s="12" t="inlineStr">
        <is>
          <t>Competenze</t>
        </is>
      </c>
      <c r="C98" s="12" t="inlineStr">
        <is>
          <t>Tagging automatico competenze (auto-tagging)</t>
        </is>
      </c>
      <c r="D98" s="12" t="inlineStr">
        <is>
          <t>Esistente</t>
        </is>
      </c>
      <c r="E98" s="12" t="inlineStr">
        <is>
          <t>Dean / Provost</t>
        </is>
      </c>
      <c r="F98" s="12" t="n"/>
    </row>
    <row r="99" ht="15" customHeight="1" s="10">
      <c r="A99" s="12" t="inlineStr">
        <is>
          <t>7. Learning Outcomes &amp; Curriculum</t>
        </is>
      </c>
      <c r="B99" s="12" t="inlineStr">
        <is>
          <t>Competenze</t>
        </is>
      </c>
      <c r="C99" s="12" t="inlineStr">
        <is>
          <t>Crosswalk ESCO</t>
        </is>
      </c>
      <c r="D99" s="12" t="inlineStr">
        <is>
          <t>Esistente</t>
        </is>
      </c>
      <c r="E99" s="12" t="inlineStr">
        <is>
          <t>Dean / Provost</t>
        </is>
      </c>
      <c r="F99" s="12" t="n"/>
    </row>
    <row r="100" ht="15" customHeight="1" s="10">
      <c r="A100" s="13" t="inlineStr">
        <is>
          <t>7. Learning Outcomes &amp; Curriculum</t>
        </is>
      </c>
      <c r="B100" s="13" t="inlineStr">
        <is>
          <t>Curriculum &amp; Programmi</t>
        </is>
      </c>
      <c r="C100" s="13" t="inlineStr">
        <is>
          <t>Program knowledge map (grafo aggregato con copertura PLO)</t>
        </is>
      </c>
      <c r="D100" s="13" t="inlineStr">
        <is>
          <t>Nuova</t>
        </is>
      </c>
      <c r="E100" s="13" t="inlineStr">
        <is>
          <t>Dean</t>
        </is>
      </c>
      <c r="F100" s="13" t="inlineStr">
        <is>
          <t>T6</t>
        </is>
      </c>
    </row>
    <row r="101" ht="15" customHeight="1" s="10">
      <c r="A101" s="12" t="inlineStr">
        <is>
          <t>8. Assessment &amp; Valutazione</t>
        </is>
      </c>
      <c r="B101" s="12" t="inlineStr">
        <is>
          <t>Prove &amp; Quiz</t>
        </is>
      </c>
      <c r="C101" s="12" t="inlineStr">
        <is>
          <t>Quiz (creazione ed erogazione)</t>
        </is>
      </c>
      <c r="D101" s="12" t="inlineStr">
        <is>
          <t>Esistente</t>
        </is>
      </c>
      <c r="E101" s="12" t="inlineStr">
        <is>
          <t>Teacher / Student</t>
        </is>
      </c>
      <c r="F101" s="12" t="n"/>
    </row>
    <row r="102" ht="15" customHeight="1" s="10">
      <c r="A102" s="12" t="inlineStr">
        <is>
          <t>8. Assessment &amp; Valutazione</t>
        </is>
      </c>
      <c r="B102" s="12" t="inlineStr">
        <is>
          <t>Prove &amp; Quiz</t>
        </is>
      </c>
      <c r="C102" s="12" t="inlineStr">
        <is>
          <t>Feedback sui quiz</t>
        </is>
      </c>
      <c r="D102" s="12" t="inlineStr">
        <is>
          <t>Esistente</t>
        </is>
      </c>
      <c r="E102" s="12" t="inlineStr">
        <is>
          <t>Teacher / Student</t>
        </is>
      </c>
      <c r="F102" s="12" t="n"/>
    </row>
    <row r="103" ht="15" customHeight="1" s="10">
      <c r="A103" s="12" t="inlineStr">
        <is>
          <t>8. Assessment &amp; Valutazione</t>
        </is>
      </c>
      <c r="B103" s="12" t="inlineStr">
        <is>
          <t>Prove &amp; Quiz</t>
        </is>
      </c>
      <c r="C103" s="12" t="inlineStr">
        <is>
          <t>Generazione quiz per livello di Bloom</t>
        </is>
      </c>
      <c r="D103" s="12" t="inlineStr">
        <is>
          <t>Esistente</t>
        </is>
      </c>
      <c r="E103" s="12" t="inlineStr">
        <is>
          <t>Teacher / Student</t>
        </is>
      </c>
      <c r="F103" s="12" t="n"/>
    </row>
    <row r="104" ht="15" customHeight="1" s="10">
      <c r="A104" s="12" t="inlineStr">
        <is>
          <t>8. Assessment &amp; Valutazione</t>
        </is>
      </c>
      <c r="B104" s="12" t="inlineStr">
        <is>
          <t>Prove &amp; Quiz</t>
        </is>
      </c>
      <c r="C104" s="12" t="inlineStr">
        <is>
          <t>Esami finali e tentativi d'esame</t>
        </is>
      </c>
      <c r="D104" s="12" t="inlineStr">
        <is>
          <t>Esistente</t>
        </is>
      </c>
      <c r="E104" s="12" t="inlineStr">
        <is>
          <t>Teacher / Student</t>
        </is>
      </c>
      <c r="F104" s="12" t="n"/>
    </row>
    <row r="105" ht="15" customHeight="1" s="10">
      <c r="A105" s="12" t="inlineStr">
        <is>
          <t>8. Assessment &amp; Valutazione</t>
        </is>
      </c>
      <c r="B105" s="12" t="inlineStr">
        <is>
          <t>Sessioni &amp; Evidenze</t>
        </is>
      </c>
      <c r="C105" s="12" t="inlineStr">
        <is>
          <t>Sessioni di assessment</t>
        </is>
      </c>
      <c r="D105" s="12" t="inlineStr">
        <is>
          <t>Esistente</t>
        </is>
      </c>
      <c r="E105" s="12" t="inlineStr">
        <is>
          <t>Teacher / Student</t>
        </is>
      </c>
      <c r="F105" s="12" t="n"/>
    </row>
    <row r="106" ht="15" customHeight="1" s="10">
      <c r="A106" s="12" t="inlineStr">
        <is>
          <t>8. Assessment &amp; Valutazione</t>
        </is>
      </c>
      <c r="B106" s="12" t="inlineStr">
        <is>
          <t>Sessioni &amp; Evidenze</t>
        </is>
      </c>
      <c r="C106" s="12" t="inlineStr">
        <is>
          <t>Agente di assessment</t>
        </is>
      </c>
      <c r="D106" s="12" t="inlineStr">
        <is>
          <t>Esistente</t>
        </is>
      </c>
      <c r="E106" s="12" t="inlineStr">
        <is>
          <t>Teacher / Student</t>
        </is>
      </c>
      <c r="F106" s="12" t="n"/>
    </row>
    <row r="107" ht="15" customHeight="1" s="10">
      <c r="A107" s="12" t="inlineStr">
        <is>
          <t>8. Assessment &amp; Valutazione</t>
        </is>
      </c>
      <c r="B107" s="12" t="inlineStr">
        <is>
          <t>Sessioni &amp; Evidenze</t>
        </is>
      </c>
      <c r="C107" s="12" t="inlineStr">
        <is>
          <t>Evidenze di valutazione</t>
        </is>
      </c>
      <c r="D107" s="12" t="inlineStr">
        <is>
          <t>Esistente</t>
        </is>
      </c>
      <c r="E107" s="12" t="inlineStr">
        <is>
          <t>Teacher / Student</t>
        </is>
      </c>
      <c r="F107" s="12" t="n"/>
    </row>
    <row r="108" ht="15" customHeight="1" s="10">
      <c r="A108" s="12" t="inlineStr">
        <is>
          <t>8. Assessment &amp; Valutazione</t>
        </is>
      </c>
      <c r="B108" s="12" t="inlineStr">
        <is>
          <t>Sessioni &amp; Evidenze</t>
        </is>
      </c>
      <c r="C108" s="12" t="inlineStr">
        <is>
          <t>Calibrazione degli item</t>
        </is>
      </c>
      <c r="D108" s="12" t="inlineStr">
        <is>
          <t>Esistente</t>
        </is>
      </c>
      <c r="E108" s="12" t="inlineStr">
        <is>
          <t>Teacher / Student</t>
        </is>
      </c>
      <c r="F108" s="12" t="n"/>
    </row>
    <row r="109" ht="15" customHeight="1" s="10">
      <c r="A109" s="12" t="inlineStr">
        <is>
          <t>8. Assessment &amp; Valutazione</t>
        </is>
      </c>
      <c r="B109" s="12" t="inlineStr">
        <is>
          <t>Valutazione &amp; Qualità</t>
        </is>
      </c>
      <c r="C109" s="12" t="inlineStr">
        <is>
          <t>Grading</t>
        </is>
      </c>
      <c r="D109" s="12" t="inlineStr">
        <is>
          <t>Esistente</t>
        </is>
      </c>
      <c r="E109" s="12" t="inlineStr">
        <is>
          <t>Teacher / Student</t>
        </is>
      </c>
      <c r="F109" s="12" t="n"/>
    </row>
    <row r="110" ht="23.25" customHeight="1" s="10">
      <c r="A110" s="12" t="inlineStr">
        <is>
          <t>8. Assessment &amp; Valutazione</t>
        </is>
      </c>
      <c r="B110" s="12" t="inlineStr">
        <is>
          <t>Valutazione &amp; Qualità</t>
        </is>
      </c>
      <c r="C110" s="12" t="inlineStr">
        <is>
          <t>Pre-valutazione (staff)</t>
        </is>
      </c>
      <c r="D110" s="12" t="inlineStr">
        <is>
          <t>Esistente</t>
        </is>
      </c>
      <c r="E110" s="12" t="inlineStr">
        <is>
          <t>Teacher / Student</t>
        </is>
      </c>
      <c r="F110" s="12" t="n"/>
    </row>
    <row r="111" ht="23.25" customHeight="1" s="10">
      <c r="A111" s="12" t="inlineStr">
        <is>
          <t>8. Assessment &amp; Valutazione</t>
        </is>
      </c>
      <c r="B111" s="12" t="inlineStr">
        <is>
          <t>Valutazione &amp; Qualità</t>
        </is>
      </c>
      <c r="C111" s="12" t="inlineStr">
        <is>
          <t>Rilevazione plagio</t>
        </is>
      </c>
      <c r="D111" s="12" t="inlineStr">
        <is>
          <t>Esistente</t>
        </is>
      </c>
      <c r="E111" s="12" t="inlineStr">
        <is>
          <t>Teacher / Student</t>
        </is>
      </c>
      <c r="F111" s="12" t="n"/>
    </row>
    <row r="112" ht="23.25" customHeight="1" s="10">
      <c r="A112" s="12" t="inlineStr">
        <is>
          <t>8. Assessment &amp; Valutazione</t>
        </is>
      </c>
      <c r="B112" s="12" t="inlineStr">
        <is>
          <t>Valutazione &amp; Qualità</t>
        </is>
      </c>
      <c r="C112" s="12" t="inlineStr">
        <is>
          <t>Serializzazione QTI</t>
        </is>
      </c>
      <c r="D112" s="12" t="inlineStr">
        <is>
          <t>Esistente</t>
        </is>
      </c>
      <c r="E112" s="12" t="inlineStr">
        <is>
          <t>Teacher / Student</t>
        </is>
      </c>
      <c r="F112" s="12" t="n"/>
    </row>
    <row r="113" ht="23.25" customHeight="1" s="10">
      <c r="A113" s="13" t="inlineStr">
        <is>
          <t>8. Assessment &amp; Valutazione</t>
        </is>
      </c>
      <c r="B113" s="13" t="inlineStr">
        <is>
          <t>Prove &amp; Quiz</t>
        </is>
      </c>
      <c r="C113" s="13" t="inlineStr">
        <is>
          <t>Pre-valutazione diagnostica delle conoscenze (baseline knowledge map)</t>
        </is>
      </c>
      <c r="D113" s="13" t="inlineStr">
        <is>
          <t>Nuova</t>
        </is>
      </c>
      <c r="E113" s="13" t="inlineStr">
        <is>
          <t>Student</t>
        </is>
      </c>
      <c r="F113" s="13" t="inlineStr">
        <is>
          <t>T2 · BOOK-06 agg.</t>
        </is>
      </c>
    </row>
    <row r="114" ht="23.25" customHeight="1" s="10">
      <c r="A114" s="12" t="inlineStr">
        <is>
          <t>9. Personalizzazione &amp; Apprendimento Adattivo</t>
        </is>
      </c>
      <c r="B114" s="12" t="inlineStr">
        <is>
          <t>Mastery &amp; Progressione</t>
        </is>
      </c>
      <c r="C114" s="12" t="inlineStr">
        <is>
          <t>Mastery tracking (BKT)</t>
        </is>
      </c>
      <c r="D114" s="12" t="inlineStr">
        <is>
          <t>Esistente</t>
        </is>
      </c>
      <c r="E114" s="12" t="inlineStr">
        <is>
          <t>Student</t>
        </is>
      </c>
      <c r="F114" s="12" t="n"/>
    </row>
    <row r="115" ht="23.25" customHeight="1" s="10">
      <c r="A115" s="12" t="inlineStr">
        <is>
          <t>9. Personalizzazione &amp; Apprendimento Adattivo</t>
        </is>
      </c>
      <c r="B115" s="12" t="inlineStr">
        <is>
          <t>Mastery &amp; Progressione</t>
        </is>
      </c>
      <c r="C115" s="12" t="inlineStr">
        <is>
          <t>Knowledge mastery</t>
        </is>
      </c>
      <c r="D115" s="12" t="inlineStr">
        <is>
          <t>Esistente</t>
        </is>
      </c>
      <c r="E115" s="12" t="inlineStr">
        <is>
          <t>Student</t>
        </is>
      </c>
      <c r="F115" s="12" t="n"/>
    </row>
    <row r="116" ht="23.25" customHeight="1" s="10">
      <c r="A116" s="12" t="inlineStr">
        <is>
          <t>9. Personalizzazione &amp; Apprendimento Adattivo</t>
        </is>
      </c>
      <c r="B116" s="12" t="inlineStr">
        <is>
          <t>Mastery &amp; Progressione</t>
        </is>
      </c>
      <c r="C116" s="12" t="inlineStr">
        <is>
          <t>Ripetizione dilazionata (spaced repetition)</t>
        </is>
      </c>
      <c r="D116" s="12" t="inlineStr">
        <is>
          <t>Esistente</t>
        </is>
      </c>
      <c r="E116" s="12" t="inlineStr">
        <is>
          <t>Student</t>
        </is>
      </c>
      <c r="F116" s="12" t="n"/>
    </row>
    <row r="117" ht="23.25" customHeight="1" s="10">
      <c r="A117" s="12" t="inlineStr">
        <is>
          <t>9. Personalizzazione &amp; Apprendimento Adattivo</t>
        </is>
      </c>
      <c r="B117" s="12" t="inlineStr">
        <is>
          <t>Pacing &amp; Percorsi</t>
        </is>
      </c>
      <c r="C117" s="12" t="inlineStr">
        <is>
          <t>Pacing del corso (base ed enhanced)</t>
        </is>
      </c>
      <c r="D117" s="12" t="inlineStr">
        <is>
          <t>Esistente</t>
        </is>
      </c>
      <c r="E117" s="12" t="inlineStr">
        <is>
          <t>Student</t>
        </is>
      </c>
      <c r="F117" s="12" t="n"/>
    </row>
    <row r="118" ht="23.25" customHeight="1" s="10">
      <c r="A118" s="12" t="inlineStr">
        <is>
          <t>9. Personalizzazione &amp; Apprendimento Adattivo</t>
        </is>
      </c>
      <c r="B118" s="12" t="inlineStr">
        <is>
          <t>Pacing &amp; Percorsi</t>
        </is>
      </c>
      <c r="C118" s="12" t="inlineStr">
        <is>
          <t>Academic GPS (navigazione del percorso)</t>
        </is>
      </c>
      <c r="D118" s="12" t="inlineStr">
        <is>
          <t>Esistente</t>
        </is>
      </c>
      <c r="E118" s="12" t="inlineStr">
        <is>
          <t>Student</t>
        </is>
      </c>
      <c r="F118" s="12" t="n"/>
    </row>
    <row r="119" ht="23.25" customHeight="1" s="10">
      <c r="A119" s="12" t="inlineStr">
        <is>
          <t>9. Personalizzazione &amp; Apprendimento Adattivo</t>
        </is>
      </c>
      <c r="B119" s="12" t="inlineStr">
        <is>
          <t>Pacing &amp; Percorsi</t>
        </is>
      </c>
      <c r="C119" s="12" t="inlineStr">
        <is>
          <t>Route graph compiler</t>
        </is>
      </c>
      <c r="D119" s="12" t="inlineStr">
        <is>
          <t>Esistente</t>
        </is>
      </c>
      <c r="E119" s="12" t="inlineStr">
        <is>
          <t>Student</t>
        </is>
      </c>
      <c r="F119" s="12" t="n"/>
    </row>
    <row r="120" ht="23.25" customHeight="1" s="10">
      <c r="A120" s="12" t="inlineStr">
        <is>
          <t>9. Personalizzazione &amp; Apprendimento Adattivo</t>
        </is>
      </c>
      <c r="B120" s="12" t="inlineStr">
        <is>
          <t>Tutoraggio &amp; Coaching AI</t>
        </is>
      </c>
      <c r="C120" s="12" t="inlineStr">
        <is>
          <t>Pedagogical coach</t>
        </is>
      </c>
      <c r="D120" s="12" t="inlineStr">
        <is>
          <t>Esistente</t>
        </is>
      </c>
      <c r="E120" s="12" t="inlineStr">
        <is>
          <t>Student</t>
        </is>
      </c>
      <c r="F120" s="12" t="n"/>
    </row>
    <row r="121" ht="23.25" customHeight="1" s="10">
      <c r="A121" s="12" t="inlineStr">
        <is>
          <t>9. Personalizzazione &amp; Apprendimento Adattivo</t>
        </is>
      </c>
      <c r="B121" s="12" t="inlineStr">
        <is>
          <t>Tutoraggio &amp; Coaching AI</t>
        </is>
      </c>
      <c r="C121" s="12" t="inlineStr">
        <is>
          <t>Subject tutor / tutor dialogue</t>
        </is>
      </c>
      <c r="D121" s="12" t="inlineStr">
        <is>
          <t>Esistente</t>
        </is>
      </c>
      <c r="E121" s="12" t="inlineStr">
        <is>
          <t>Student</t>
        </is>
      </c>
      <c r="F121" s="12" t="n"/>
    </row>
    <row r="122" ht="23.25" customHeight="1" s="10">
      <c r="A122" s="12" t="inlineStr">
        <is>
          <t>9. Personalizzazione &amp; Apprendimento Adattivo</t>
        </is>
      </c>
      <c r="B122" s="12" t="inlineStr">
        <is>
          <t>Tutoraggio &amp; Coaching AI</t>
        </is>
      </c>
      <c r="C122" s="12" t="inlineStr">
        <is>
          <t>Raccomandazioni (recommendation engine v2)</t>
        </is>
      </c>
      <c r="D122" s="12" t="inlineStr">
        <is>
          <t>Esistente</t>
        </is>
      </c>
      <c r="E122" s="12" t="inlineStr">
        <is>
          <t>Student</t>
        </is>
      </c>
      <c r="F122" s="12" t="n"/>
    </row>
    <row r="123" ht="23.25" customHeight="1" s="10">
      <c r="A123" s="12" t="inlineStr">
        <is>
          <t>9. Personalizzazione &amp; Apprendimento Adattivo</t>
        </is>
      </c>
      <c r="B123" s="12" t="inlineStr">
        <is>
          <t>Modello dello Studente</t>
        </is>
      </c>
      <c r="C123" s="12" t="inlineStr">
        <is>
          <t>Profilo learner</t>
        </is>
      </c>
      <c r="D123" s="12" t="inlineStr">
        <is>
          <t>Esistente</t>
        </is>
      </c>
      <c r="E123" s="12" t="inlineStr">
        <is>
          <t>Student</t>
        </is>
      </c>
      <c r="F123" s="12" t="n"/>
    </row>
    <row r="124" ht="23.25" customHeight="1" s="10">
      <c r="A124" s="12" t="inlineStr">
        <is>
          <t>9. Personalizzazione &amp; Apprendimento Adattivo</t>
        </is>
      </c>
      <c r="B124" s="12" t="inlineStr">
        <is>
          <t>Modello dello Studente</t>
        </is>
      </c>
      <c r="C124" s="12" t="inlineStr">
        <is>
          <t>Student twin / gemello digitale</t>
        </is>
      </c>
      <c r="D124" s="12" t="inlineStr">
        <is>
          <t>Esistente</t>
        </is>
      </c>
      <c r="E124" s="12" t="inlineStr">
        <is>
          <t>Student</t>
        </is>
      </c>
      <c r="F124" s="12" t="n"/>
    </row>
    <row r="125" ht="15" customHeight="1" s="10">
      <c r="A125" s="12" t="inlineStr">
        <is>
          <t>9. Personalizzazione &amp; Apprendimento Adattivo</t>
        </is>
      </c>
      <c r="B125" s="12" t="inlineStr">
        <is>
          <t>Modello dello Studente</t>
        </is>
      </c>
      <c r="C125" s="12" t="inlineStr">
        <is>
          <t>Rilevazione crisi / etiquette del coach</t>
        </is>
      </c>
      <c r="D125" s="12" t="inlineStr">
        <is>
          <t>Esistente</t>
        </is>
      </c>
      <c r="E125" s="12" t="inlineStr">
        <is>
          <t>Student</t>
        </is>
      </c>
      <c r="F125" s="12" t="n"/>
    </row>
    <row r="126" ht="15" customHeight="1" s="10">
      <c r="A126" s="13" t="inlineStr">
        <is>
          <t>9. Personalizzazione &amp; Apprendimento Adattivo</t>
        </is>
      </c>
      <c r="B126" s="13" t="inlineStr">
        <is>
          <t>Modello dello Studente</t>
        </is>
      </c>
      <c r="C126" s="13" t="inlineStr">
        <is>
          <t>Key objective contrattualizzato con revisioni periodiche</t>
        </is>
      </c>
      <c r="D126" s="13" t="inlineStr">
        <is>
          <t>Nuova</t>
        </is>
      </c>
      <c r="E126" s="13" t="inlineStr">
        <is>
          <t>Student</t>
        </is>
      </c>
      <c r="F126" s="13" t="inlineStr">
        <is>
          <t>T2</t>
        </is>
      </c>
    </row>
    <row r="127" ht="15" customHeight="1" s="10">
      <c r="A127" s="13" t="inlineStr">
        <is>
          <t>9. Personalizzazione &amp; Apprendimento Adattivo</t>
        </is>
      </c>
      <c r="B127" s="13" t="inlineStr">
        <is>
          <t>Pacing &amp; Percorsi</t>
        </is>
      </c>
      <c r="C127" s="13" t="inlineStr">
        <is>
          <t>Missioni di studio giornaliere (triade Canvas·Companion·Missions)</t>
        </is>
      </c>
      <c r="D127" s="13" t="inlineStr">
        <is>
          <t>Nuova</t>
        </is>
      </c>
      <c r="E127" s="13" t="inlineStr">
        <is>
          <t>Student</t>
        </is>
      </c>
      <c r="F127" s="13" t="inlineStr">
        <is>
          <t>T2 · BOOK-17 agg.</t>
        </is>
      </c>
    </row>
    <row r="128" ht="15" customHeight="1" s="10">
      <c r="A128" s="13" t="inlineStr">
        <is>
          <t>9. Personalizzazione &amp; Apprendimento Adattivo</t>
        </is>
      </c>
      <c r="B128" s="13" t="inlineStr">
        <is>
          <t>Tutoraggio &amp; Coaching AI</t>
        </is>
      </c>
      <c r="C128" s="13" t="inlineStr">
        <is>
          <t>Engine proattivo di retention e nudging (segnali di disimpegno)</t>
        </is>
      </c>
      <c r="D128" s="13" t="inlineStr">
        <is>
          <t>Nuova</t>
        </is>
      </c>
      <c r="E128" s="13" t="inlineStr">
        <is>
          <t>Student</t>
        </is>
      </c>
      <c r="F128" s="13" t="inlineStr">
        <is>
          <t>Piano SaaS EdTech</t>
        </is>
      </c>
    </row>
    <row r="129" ht="15" customHeight="1" s="10">
      <c r="A129" s="12" t="inlineStr">
        <is>
          <t>10. Esperienza Studente &amp; Lifecycle</t>
        </is>
      </c>
      <c r="B129" s="12" t="inlineStr">
        <is>
          <t>Iscrizioni &amp; Progresso</t>
        </is>
      </c>
      <c r="C129" s="12" t="inlineStr">
        <is>
          <t>Iscrizioni (enrollment domain)</t>
        </is>
      </c>
      <c r="D129" s="12" t="inlineStr">
        <is>
          <t>Esistente</t>
        </is>
      </c>
      <c r="E129" s="12" t="inlineStr">
        <is>
          <t>Student</t>
        </is>
      </c>
      <c r="F129" s="12" t="n"/>
    </row>
    <row r="130" ht="15" customHeight="1" s="10">
      <c r="A130" s="12" t="inlineStr">
        <is>
          <t>10. Esperienza Studente &amp; Lifecycle</t>
        </is>
      </c>
      <c r="B130" s="12" t="inlineStr">
        <is>
          <t>Iscrizioni &amp; Progresso</t>
        </is>
      </c>
      <c r="C130" s="12" t="inlineStr">
        <is>
          <t>Coorti</t>
        </is>
      </c>
      <c r="D130" s="12" t="inlineStr">
        <is>
          <t>Esistente</t>
        </is>
      </c>
      <c r="E130" s="12" t="inlineStr">
        <is>
          <t>Student</t>
        </is>
      </c>
      <c r="F130" s="12" t="n"/>
    </row>
    <row r="131" ht="15" customHeight="1" s="10">
      <c r="A131" s="12" t="inlineStr">
        <is>
          <t>10. Esperienza Studente &amp; Lifecycle</t>
        </is>
      </c>
      <c r="B131" s="12" t="inlineStr">
        <is>
          <t>Iscrizioni &amp; Progresso</t>
        </is>
      </c>
      <c r="C131" s="12" t="inlineStr">
        <is>
          <t>Tracciamento progresso</t>
        </is>
      </c>
      <c r="D131" s="12" t="inlineStr">
        <is>
          <t>Esistente</t>
        </is>
      </c>
      <c r="E131" s="12" t="inlineStr">
        <is>
          <t>Student</t>
        </is>
      </c>
      <c r="F131" s="12" t="n"/>
    </row>
    <row r="132" ht="15" customHeight="1" s="10">
      <c r="A132" s="12" t="inlineStr">
        <is>
          <t>10. Esperienza Studente &amp; Lifecycle</t>
        </is>
      </c>
      <c r="B132" s="12" t="inlineStr">
        <is>
          <t>Community &amp; Interazione</t>
        </is>
      </c>
      <c r="C132" s="12" t="inlineStr">
        <is>
          <t>Community / post</t>
        </is>
      </c>
      <c r="D132" s="12" t="inlineStr">
        <is>
          <t>Esistente</t>
        </is>
      </c>
      <c r="E132" s="12" t="inlineStr">
        <is>
          <t>Student</t>
        </is>
      </c>
      <c r="F132" s="12" t="n"/>
    </row>
    <row r="133" ht="15" customHeight="1" s="10">
      <c r="A133" s="12" t="inlineStr">
        <is>
          <t>10. Esperienza Studente &amp; Lifecycle</t>
        </is>
      </c>
      <c r="B133" s="12" t="inlineStr">
        <is>
          <t>Community &amp; Interazione</t>
        </is>
      </c>
      <c r="C133" s="12" t="inlineStr">
        <is>
          <t>Forum</t>
        </is>
      </c>
      <c r="D133" s="12" t="inlineStr">
        <is>
          <t>Esistente</t>
        </is>
      </c>
      <c r="E133" s="12" t="inlineStr">
        <is>
          <t>Student</t>
        </is>
      </c>
      <c r="F133" s="12" t="n"/>
    </row>
    <row r="134" ht="15" customHeight="1" s="10">
      <c r="A134" s="12" t="inlineStr">
        <is>
          <t>10. Esperienza Studente &amp; Lifecycle</t>
        </is>
      </c>
      <c r="B134" s="12" t="inlineStr">
        <is>
          <t>Community &amp; Interazione</t>
        </is>
      </c>
      <c r="C134" s="12" t="inlineStr">
        <is>
          <t>Notifiche</t>
        </is>
      </c>
      <c r="D134" s="12" t="inlineStr">
        <is>
          <t>Esistente</t>
        </is>
      </c>
      <c r="E134" s="12" t="inlineStr">
        <is>
          <t>Student</t>
        </is>
      </c>
      <c r="F134" s="12" t="n"/>
    </row>
    <row r="135" ht="15" customHeight="1" s="10">
      <c r="A135" s="12" t="inlineStr">
        <is>
          <t>10. Esperienza Studente &amp; Lifecycle</t>
        </is>
      </c>
      <c r="B135" s="12" t="inlineStr">
        <is>
          <t>Community &amp; Interazione</t>
        </is>
      </c>
      <c r="C135" s="12" t="inlineStr">
        <is>
          <t>Feedback</t>
        </is>
      </c>
      <c r="D135" s="12" t="inlineStr">
        <is>
          <t>Esistente</t>
        </is>
      </c>
      <c r="E135" s="12" t="inlineStr">
        <is>
          <t>Student</t>
        </is>
      </c>
      <c r="F135" s="12" t="n"/>
    </row>
    <row r="136" ht="15" customHeight="1" s="10">
      <c r="A136" s="12" t="inlineStr">
        <is>
          <t>10. Esperienza Studente &amp; Lifecycle</t>
        </is>
      </c>
      <c r="B136" s="12" t="inlineStr">
        <is>
          <t>Wallet &amp; Mobilità</t>
        </is>
      </c>
      <c r="C136" s="12" t="inlineStr">
        <is>
          <t>Credential wallet studente</t>
        </is>
      </c>
      <c r="D136" s="12" t="inlineStr">
        <is>
          <t>Esistente</t>
        </is>
      </c>
      <c r="E136" s="12" t="inlineStr">
        <is>
          <t>Student</t>
        </is>
      </c>
      <c r="F136" s="12" t="n"/>
    </row>
    <row r="137" ht="15" customHeight="1" s="10">
      <c r="A137" s="12" t="inlineStr">
        <is>
          <t>10. Esperienza Studente &amp; Lifecycle</t>
        </is>
      </c>
      <c r="B137" s="12" t="inlineStr">
        <is>
          <t>Wallet &amp; Mobilità</t>
        </is>
      </c>
      <c r="C137" s="12" t="inlineStr">
        <is>
          <t>Mobilità studentesca</t>
        </is>
      </c>
      <c r="D137" s="12" t="inlineStr">
        <is>
          <t>Esistente</t>
        </is>
      </c>
      <c r="E137" s="12" t="inlineStr">
        <is>
          <t>Student</t>
        </is>
      </c>
      <c r="F137" s="12" t="n"/>
    </row>
    <row r="138" ht="15" customHeight="1" s="10">
      <c r="A138" s="12" t="inlineStr">
        <is>
          <t>10. Esperienza Studente &amp; Lifecycle</t>
        </is>
      </c>
      <c r="B138" s="12" t="inlineStr">
        <is>
          <t>Wallet &amp; Mobilità</t>
        </is>
      </c>
      <c r="C138" s="12" t="inlineStr">
        <is>
          <t>Pre-valutazione candidati</t>
        </is>
      </c>
      <c r="D138" s="12" t="inlineStr">
        <is>
          <t>Esistente</t>
        </is>
      </c>
      <c r="E138" s="12" t="inlineStr">
        <is>
          <t>Student</t>
        </is>
      </c>
      <c r="F138" s="12" t="n"/>
    </row>
    <row r="139" ht="15" customHeight="1" s="10">
      <c r="A139" s="13" t="inlineStr">
        <is>
          <t>10. Esperienza Studente &amp; Lifecycle</t>
        </is>
      </c>
      <c r="B139" s="13" t="inlineStr">
        <is>
          <t>Iscrizioni &amp; Progresso</t>
        </is>
      </c>
      <c r="C139" s="13" t="inlineStr">
        <is>
          <t>Onboarding guidato studente (profilo, consensi, diagnostica, goal — WS00)</t>
        </is>
      </c>
      <c r="D139" s="13" t="inlineStr">
        <is>
          <t>Nuova</t>
        </is>
      </c>
      <c r="E139" s="13" t="inlineStr">
        <is>
          <t>Student</t>
        </is>
      </c>
      <c r="F139" s="13" t="inlineStr">
        <is>
          <t>T2</t>
        </is>
      </c>
    </row>
    <row r="140" ht="15" customHeight="1" s="10">
      <c r="A140" s="13" t="inlineStr">
        <is>
          <t>10. Esperienza Studente &amp; Lifecycle</t>
        </is>
      </c>
      <c r="B140" s="13" t="inlineStr">
        <is>
          <t>Iscrizioni &amp; Progresso</t>
        </is>
      </c>
      <c r="C140" s="13" t="inlineStr">
        <is>
          <t>Snapshot trasformazione knowledge map (before/after corso)</t>
        </is>
      </c>
      <c r="D140" s="13" t="inlineStr">
        <is>
          <t>Nuova</t>
        </is>
      </c>
      <c r="E140" s="13" t="inlineStr">
        <is>
          <t>Student</t>
        </is>
      </c>
      <c r="F140" s="13" t="inlineStr">
        <is>
          <t>T3</t>
        </is>
      </c>
    </row>
    <row r="141" ht="15" customHeight="1" s="10">
      <c r="A141" s="12" t="inlineStr">
        <is>
          <t>11. Faculty &amp; Staff</t>
        </is>
      </c>
      <c r="B141" s="12" t="inlineStr">
        <is>
          <t>Workspace Docente</t>
        </is>
      </c>
      <c r="C141" s="12" t="inlineStr">
        <is>
          <t>Faculty workspace</t>
        </is>
      </c>
      <c r="D141" s="12" t="inlineStr">
        <is>
          <t>Esistente</t>
        </is>
      </c>
      <c r="E141" s="12" t="inlineStr">
        <is>
          <t>Teacher</t>
        </is>
      </c>
      <c r="F141" s="12" t="n"/>
    </row>
    <row r="142" ht="15" customHeight="1" s="10">
      <c r="A142" s="12" t="inlineStr">
        <is>
          <t>11. Faculty &amp; Staff</t>
        </is>
      </c>
      <c r="B142" s="12" t="inlineStr">
        <is>
          <t>Workspace Docente</t>
        </is>
      </c>
      <c r="C142" s="12" t="inlineStr">
        <is>
          <t>Buste docente (faculty envelopes)</t>
        </is>
      </c>
      <c r="D142" s="12" t="inlineStr">
        <is>
          <t>Esistente</t>
        </is>
      </c>
      <c r="E142" s="12" t="inlineStr">
        <is>
          <t>Teacher</t>
        </is>
      </c>
      <c r="F142" s="12" t="n"/>
    </row>
    <row r="143" ht="15" customHeight="1" s="10">
      <c r="A143" s="12" t="inlineStr">
        <is>
          <t>11. Faculty &amp; Staff</t>
        </is>
      </c>
      <c r="B143" s="12" t="inlineStr">
        <is>
          <t>Workspace Docente</t>
        </is>
      </c>
      <c r="C143" s="12" t="inlineStr">
        <is>
          <t>Registro didattico (teaching register)</t>
        </is>
      </c>
      <c r="D143" s="12" t="inlineStr">
        <is>
          <t>Esistente</t>
        </is>
      </c>
      <c r="E143" s="12" t="inlineStr">
        <is>
          <t>Teacher</t>
        </is>
      </c>
      <c r="F143" s="12" t="n"/>
    </row>
    <row r="144" ht="15" customHeight="1" s="10">
      <c r="A144" s="12" t="inlineStr">
        <is>
          <t>11. Faculty &amp; Staff</t>
        </is>
      </c>
      <c r="B144" s="12" t="inlineStr">
        <is>
          <t>Didattica &amp; Assegnazioni</t>
        </is>
      </c>
      <c r="C144" s="12" t="inlineStr">
        <is>
          <t>Teaching sections</t>
        </is>
      </c>
      <c r="D144" s="12" t="inlineStr">
        <is>
          <t>Esistente</t>
        </is>
      </c>
      <c r="E144" s="12" t="inlineStr">
        <is>
          <t>Teacher</t>
        </is>
      </c>
      <c r="F144" s="12" t="n"/>
    </row>
    <row r="145" ht="15" customHeight="1" s="10">
      <c r="A145" s="12" t="inlineStr">
        <is>
          <t>11. Faculty &amp; Staff</t>
        </is>
      </c>
      <c r="B145" s="12" t="inlineStr">
        <is>
          <t>Didattica &amp; Assegnazioni</t>
        </is>
      </c>
      <c r="C145" s="12" t="inlineStr">
        <is>
          <t>Assegnazioni advisor</t>
        </is>
      </c>
      <c r="D145" s="12" t="inlineStr">
        <is>
          <t>Esistente</t>
        </is>
      </c>
      <c r="E145" s="12" t="inlineStr">
        <is>
          <t>Teacher</t>
        </is>
      </c>
      <c r="F145" s="12" t="n"/>
    </row>
    <row r="146" ht="15" customHeight="1" s="10">
      <c r="A146" s="12" t="inlineStr">
        <is>
          <t>11. Faculty &amp; Staff</t>
        </is>
      </c>
      <c r="B146" s="12" t="inlineStr">
        <is>
          <t>Didattica &amp; Assegnazioni</t>
        </is>
      </c>
      <c r="C146" s="12" t="inlineStr">
        <is>
          <t>Office hours</t>
        </is>
      </c>
      <c r="D146" s="12" t="inlineStr">
        <is>
          <t>Esistente</t>
        </is>
      </c>
      <c r="E146" s="12" t="inlineStr">
        <is>
          <t>Teacher</t>
        </is>
      </c>
      <c r="F146" s="12" t="n"/>
    </row>
    <row r="147" ht="15" customHeight="1" s="10">
      <c r="A147" s="12" t="inlineStr">
        <is>
          <t>11. Faculty &amp; Staff</t>
        </is>
      </c>
      <c r="B147" s="12" t="inlineStr">
        <is>
          <t>Tesi &amp; Commissioni</t>
        </is>
      </c>
      <c r="C147" s="12" t="inlineStr">
        <is>
          <t>Gestione tesi</t>
        </is>
      </c>
      <c r="D147" s="12" t="inlineStr">
        <is>
          <t>Esistente</t>
        </is>
      </c>
      <c r="E147" s="12" t="inlineStr">
        <is>
          <t>Teacher</t>
        </is>
      </c>
      <c r="F147" s="12" t="n"/>
    </row>
    <row r="148" ht="15" customHeight="1" s="10">
      <c r="A148" s="12" t="inlineStr">
        <is>
          <t>11. Faculty &amp; Staff</t>
        </is>
      </c>
      <c r="B148" s="12" t="inlineStr">
        <is>
          <t>Tesi &amp; Commissioni</t>
        </is>
      </c>
      <c r="C148" s="12" t="inlineStr">
        <is>
          <t>Commissioni / viva dossier</t>
        </is>
      </c>
      <c r="D148" s="12" t="inlineStr">
        <is>
          <t>Esistente</t>
        </is>
      </c>
      <c r="E148" s="12" t="inlineStr">
        <is>
          <t>Teacher</t>
        </is>
      </c>
      <c r="F148" s="12" t="n"/>
    </row>
    <row r="149" ht="15" customHeight="1" s="10">
      <c r="A149" s="12" t="inlineStr">
        <is>
          <t>11. Faculty &amp; Staff</t>
        </is>
      </c>
      <c r="B149" s="12" t="inlineStr">
        <is>
          <t>Tesi &amp; Commissioni</t>
        </is>
      </c>
      <c r="C149" s="12" t="inlineStr">
        <is>
          <t>Comitati di riconoscimento</t>
        </is>
      </c>
      <c r="D149" s="12" t="inlineStr">
        <is>
          <t>Esistente</t>
        </is>
      </c>
      <c r="E149" s="12" t="inlineStr">
        <is>
          <t>Teacher</t>
        </is>
      </c>
      <c r="F149" s="12" t="n"/>
    </row>
    <row r="150" ht="15" customHeight="1" s="10">
      <c r="A150" s="13" t="inlineStr">
        <is>
          <t>11. Faculty &amp; Staff</t>
        </is>
      </c>
      <c r="B150" s="13" t="inlineStr">
        <is>
          <t>Didattica &amp; Assegnazioni</t>
        </is>
      </c>
      <c r="C150" s="13" t="inlineStr">
        <is>
          <t>Sessioni di tutoraggio umano con note ed esiti (FW4)</t>
        </is>
      </c>
      <c r="D150" s="13" t="inlineStr">
        <is>
          <t>Nuova</t>
        </is>
      </c>
      <c r="E150" s="13" t="inlineStr">
        <is>
          <t>Teacher</t>
        </is>
      </c>
      <c r="F150" s="13" t="inlineStr">
        <is>
          <t>T5 · BOOK-07 agg.</t>
        </is>
      </c>
    </row>
    <row r="151" ht="15" customHeight="1" s="10">
      <c r="A151" s="13" t="inlineStr">
        <is>
          <t>11. Faculty &amp; Staff</t>
        </is>
      </c>
      <c r="B151" s="13" t="inlineStr">
        <is>
          <t>Didattica &amp; Assegnazioni</t>
        </is>
      </c>
      <c r="C151" s="13" t="inlineStr">
        <is>
          <t>Audit accessi twin studente (purpose=staff_view)</t>
        </is>
      </c>
      <c r="D151" s="13" t="inlineStr">
        <is>
          <t>Nuova</t>
        </is>
      </c>
      <c r="E151" s="13" t="inlineStr">
        <is>
          <t>Teacher</t>
        </is>
      </c>
      <c r="F151" s="13" t="inlineStr">
        <is>
          <t>T5</t>
        </is>
      </c>
    </row>
    <row r="152" ht="15" customHeight="1" s="10">
      <c r="A152" s="12" t="inlineStr">
        <is>
          <t>12. Credenziali, Badge &amp; Riconoscimenti</t>
        </is>
      </c>
      <c r="B152" s="12" t="inlineStr">
        <is>
          <t>Credenziali Digitali</t>
        </is>
      </c>
      <c r="C152" s="12" t="inlineStr">
        <is>
          <t>Emissione credenziali</t>
        </is>
      </c>
      <c r="D152" s="12" t="inlineStr">
        <is>
          <t>Esistente</t>
        </is>
      </c>
      <c r="E152" s="12" t="inlineStr">
        <is>
          <t>Student / BackOffice</t>
        </is>
      </c>
      <c r="F152" s="12" t="n"/>
    </row>
    <row r="153" ht="15" customHeight="1" s="10">
      <c r="A153" s="12" t="inlineStr">
        <is>
          <t>12. Credenziali, Badge &amp; Riconoscimenti</t>
        </is>
      </c>
      <c r="B153" s="12" t="inlineStr">
        <is>
          <t>Credenziali Digitali</t>
        </is>
      </c>
      <c r="C153" s="12" t="inlineStr">
        <is>
          <t>Revoca credenziali</t>
        </is>
      </c>
      <c r="D153" s="12" t="inlineStr">
        <is>
          <t>Esistente</t>
        </is>
      </c>
      <c r="E153" s="12" t="inlineStr">
        <is>
          <t>Student / BackOffice</t>
        </is>
      </c>
      <c r="F153" s="12" t="n"/>
    </row>
    <row r="154" ht="15" customHeight="1" s="10">
      <c r="A154" s="12" t="inlineStr">
        <is>
          <t>12. Credenziali, Badge &amp; Riconoscimenti</t>
        </is>
      </c>
      <c r="B154" s="12" t="inlineStr">
        <is>
          <t>Credenziali Digitali</t>
        </is>
      </c>
      <c r="C154" s="12" t="inlineStr">
        <is>
          <t>Wallet delle credenziali</t>
        </is>
      </c>
      <c r="D154" s="12" t="inlineStr">
        <is>
          <t>Esistente</t>
        </is>
      </c>
      <c r="E154" s="12" t="inlineStr">
        <is>
          <t>Student / BackOffice</t>
        </is>
      </c>
      <c r="F154" s="12" t="n"/>
    </row>
    <row r="155" ht="15" customHeight="1" s="10">
      <c r="A155" s="12" t="inlineStr">
        <is>
          <t>12. Credenziali, Badge &amp; Riconoscimenti</t>
        </is>
      </c>
      <c r="B155" s="12" t="inlineStr">
        <is>
          <t>Credenziali Digitali</t>
        </is>
      </c>
      <c r="C155" s="12" t="inlineStr">
        <is>
          <t>Credenziali documentali (document credentials)</t>
        </is>
      </c>
      <c r="D155" s="12" t="inlineStr">
        <is>
          <t>Esistente</t>
        </is>
      </c>
      <c r="E155" s="12" t="inlineStr">
        <is>
          <t>Student / BackOffice</t>
        </is>
      </c>
      <c r="F155" s="12" t="n"/>
    </row>
    <row r="156" ht="15" customHeight="1" s="10">
      <c r="A156" s="12" t="inlineStr">
        <is>
          <t>12. Credenziali, Badge &amp; Riconoscimenti</t>
        </is>
      </c>
      <c r="B156" s="12" t="inlineStr">
        <is>
          <t>Badge &amp; Crediti</t>
        </is>
      </c>
      <c r="C156" s="12" t="inlineStr">
        <is>
          <t>Badge</t>
        </is>
      </c>
      <c r="D156" s="12" t="inlineStr">
        <is>
          <t>Esistente</t>
        </is>
      </c>
      <c r="E156" s="12" t="inlineStr">
        <is>
          <t>Student / BackOffice</t>
        </is>
      </c>
      <c r="F156" s="12" t="n"/>
    </row>
    <row r="157" ht="15" customHeight="1" s="10">
      <c r="A157" s="12" t="inlineStr">
        <is>
          <t>12. Credenziali, Badge &amp; Riconoscimenti</t>
        </is>
      </c>
      <c r="B157" s="12" t="inlineStr">
        <is>
          <t>Badge &amp; Crediti</t>
        </is>
      </c>
      <c r="C157" s="12" t="inlineStr">
        <is>
          <t>Regole badge/credito (admin)</t>
        </is>
      </c>
      <c r="D157" s="12" t="inlineStr">
        <is>
          <t>Esistente</t>
        </is>
      </c>
      <c r="E157" s="12" t="inlineStr">
        <is>
          <t>Student / BackOffice</t>
        </is>
      </c>
      <c r="F157" s="12" t="n"/>
    </row>
    <row r="158" ht="23.25" customHeight="1" s="10">
      <c r="A158" s="12" t="inlineStr">
        <is>
          <t>12. Credenziali, Badge &amp; Riconoscimenti</t>
        </is>
      </c>
      <c r="B158" s="12" t="inlineStr">
        <is>
          <t>Badge &amp; Crediti</t>
        </is>
      </c>
      <c r="C158" s="12" t="inlineStr">
        <is>
          <t>Riconoscimento crediti (recognition)</t>
        </is>
      </c>
      <c r="D158" s="12" t="inlineStr">
        <is>
          <t>Esistente</t>
        </is>
      </c>
      <c r="E158" s="12" t="inlineStr">
        <is>
          <t>Student / BackOffice</t>
        </is>
      </c>
      <c r="F158" s="12" t="n"/>
    </row>
    <row r="159" ht="15" customHeight="1" s="10">
      <c r="A159" s="12" t="inlineStr">
        <is>
          <t>12. Credenziali, Badge &amp; Riconoscimenti</t>
        </is>
      </c>
      <c r="B159" s="12" t="inlineStr">
        <is>
          <t>Badge &amp; Crediti</t>
        </is>
      </c>
      <c r="C159" s="12" t="inlineStr">
        <is>
          <t>Yield del riconoscimento</t>
        </is>
      </c>
      <c r="D159" s="12" t="inlineStr">
        <is>
          <t>Esistente</t>
        </is>
      </c>
      <c r="E159" s="12" t="inlineStr">
        <is>
          <t>Student / BackOffice</t>
        </is>
      </c>
      <c r="F159" s="12" t="n"/>
    </row>
    <row r="160" ht="15" customHeight="1" s="10">
      <c r="A160" s="12" t="inlineStr">
        <is>
          <t>12. Credenziali, Badge &amp; Riconoscimenti</t>
        </is>
      </c>
      <c r="B160" s="12" t="inlineStr">
        <is>
          <t>Firma &amp; Export</t>
        </is>
      </c>
      <c r="C160" s="12" t="inlineStr">
        <is>
          <t>Firma qualificata QES (eIDAS)</t>
        </is>
      </c>
      <c r="D160" s="12" t="inlineStr">
        <is>
          <t>Esistente</t>
        </is>
      </c>
      <c r="E160" s="12" t="inlineStr">
        <is>
          <t>Student / BackOffice</t>
        </is>
      </c>
      <c r="F160" s="12" t="n"/>
    </row>
    <row r="161" ht="15" customHeight="1" s="10">
      <c r="A161" s="12" t="inlineStr">
        <is>
          <t>12. Credenziali, Badge &amp; Riconoscimenti</t>
        </is>
      </c>
      <c r="B161" s="12" t="inlineStr">
        <is>
          <t>Firma &amp; Export</t>
        </is>
      </c>
      <c r="C161" s="12" t="inlineStr">
        <is>
          <t>Export CC/1EdTech (CC14)</t>
        </is>
      </c>
      <c r="D161" s="12" t="inlineStr">
        <is>
          <t>Esistente</t>
        </is>
      </c>
      <c r="E161" s="12" t="inlineStr">
        <is>
          <t>Student / BackOffice</t>
        </is>
      </c>
      <c r="F161" s="12" t="n"/>
    </row>
    <row r="162" ht="15" customHeight="1" s="10">
      <c r="A162" s="15" t="inlineStr">
        <is>
          <t>12. Credenziali, Badge &amp; Riconoscimenti</t>
        </is>
      </c>
      <c r="B162" s="15" t="inlineStr">
        <is>
          <t>Badge &amp; Crediti</t>
        </is>
      </c>
      <c r="C162" s="15" t="inlineStr">
        <is>
          <t>Emissione automatica badge a superamento corso (evento CourseAchieved)</t>
        </is>
      </c>
      <c r="D162" s="15" t="inlineStr">
        <is>
          <t>Estensione</t>
        </is>
      </c>
      <c r="E162" s="15" t="inlineStr">
        <is>
          <t>Student</t>
        </is>
      </c>
      <c r="F162" s="15" t="inlineStr">
        <is>
          <t>T3 · BOOK-16 agg.</t>
        </is>
      </c>
    </row>
    <row r="163" ht="15" customHeight="1" s="10">
      <c r="A163" s="15" t="inlineStr">
        <is>
          <t>12. Credenziali, Badge &amp; Riconoscimenti</t>
        </is>
      </c>
      <c r="B163" s="15" t="inlineStr">
        <is>
          <t>Firma &amp; Export</t>
        </is>
      </c>
      <c r="C163" s="15" t="inlineStr">
        <is>
          <t>Contratto esecutivo e edizione catalogo come documenti verificabili</t>
        </is>
      </c>
      <c r="D163" s="15" t="inlineStr">
        <is>
          <t>Estensione</t>
        </is>
      </c>
      <c r="E163" s="15" t="inlineStr">
        <is>
          <t>Provost / CFO</t>
        </is>
      </c>
      <c r="F163" s="15" t="inlineStr">
        <is>
          <t>T4/T6</t>
        </is>
      </c>
    </row>
    <row r="164" ht="15" customHeight="1" s="10">
      <c r="A164" s="12" t="inlineStr">
        <is>
          <t>13. Analytics &amp; Reporting</t>
        </is>
      </c>
      <c r="B164" s="12" t="inlineStr">
        <is>
          <t>Dashboard Analitiche</t>
        </is>
      </c>
      <c r="C164" s="12" t="inlineStr">
        <is>
          <t>Analytics dashboard</t>
        </is>
      </c>
      <c r="D164" s="12" t="inlineStr">
        <is>
          <t>Esistente</t>
        </is>
      </c>
      <c r="E164" s="12" t="inlineStr">
        <is>
          <t>Management</t>
        </is>
      </c>
      <c r="F164" s="12" t="n"/>
    </row>
    <row r="165" ht="15" customHeight="1" s="10">
      <c r="A165" s="12" t="inlineStr">
        <is>
          <t>13. Analytics &amp; Reporting</t>
        </is>
      </c>
      <c r="B165" s="12" t="inlineStr">
        <is>
          <t>Dashboard Analitiche</t>
        </is>
      </c>
      <c r="C165" s="12" t="inlineStr">
        <is>
          <t>Enhanced analytics</t>
        </is>
      </c>
      <c r="D165" s="12" t="inlineStr">
        <is>
          <t>Esistente</t>
        </is>
      </c>
      <c r="E165" s="12" t="inlineStr">
        <is>
          <t>Management</t>
        </is>
      </c>
      <c r="F165" s="12" t="n"/>
    </row>
    <row r="166" ht="15" customHeight="1" s="10">
      <c r="A166" s="12" t="inlineStr">
        <is>
          <t>13. Analytics &amp; Reporting</t>
        </is>
      </c>
      <c r="B166" s="12" t="inlineStr">
        <is>
          <t>Dashboard Analitiche</t>
        </is>
      </c>
      <c r="C166" s="12" t="inlineStr">
        <is>
          <t>Analytics di corso</t>
        </is>
      </c>
      <c r="D166" s="12" t="inlineStr">
        <is>
          <t>Esistente</t>
        </is>
      </c>
      <c r="E166" s="12" t="inlineStr">
        <is>
          <t>Management</t>
        </is>
      </c>
      <c r="F166" s="12" t="n"/>
    </row>
    <row r="167" ht="15" customHeight="1" s="10">
      <c r="A167" s="12" t="inlineStr">
        <is>
          <t>13. Analytics &amp; Reporting</t>
        </is>
      </c>
      <c r="B167" s="12" t="inlineStr">
        <is>
          <t>Dashboard Analitiche</t>
        </is>
      </c>
      <c r="C167" s="12" t="inlineStr">
        <is>
          <t>Faculty analytics overview</t>
        </is>
      </c>
      <c r="D167" s="12" t="inlineStr">
        <is>
          <t>Esistente</t>
        </is>
      </c>
      <c r="E167" s="12" t="inlineStr">
        <is>
          <t>Management</t>
        </is>
      </c>
      <c r="F167" s="12" t="n"/>
    </row>
    <row r="168" ht="15" customHeight="1" s="10">
      <c r="A168" s="12" t="inlineStr">
        <is>
          <t>13. Analytics &amp; Reporting</t>
        </is>
      </c>
      <c r="B168" s="12" t="inlineStr">
        <is>
          <t>Tracciamento Apprendimento</t>
        </is>
      </c>
      <c r="C168" s="12" t="inlineStr">
        <is>
          <t>xAPI (statement tracking)</t>
        </is>
      </c>
      <c r="D168" s="12" t="inlineStr">
        <is>
          <t>Esistente</t>
        </is>
      </c>
      <c r="E168" s="12" t="inlineStr">
        <is>
          <t>Management</t>
        </is>
      </c>
      <c r="F168" s="12" t="n"/>
    </row>
    <row r="169" ht="15" customHeight="1" s="10">
      <c r="A169" s="12" t="inlineStr">
        <is>
          <t>13. Analytics &amp; Reporting</t>
        </is>
      </c>
      <c r="B169" s="12" t="inlineStr">
        <is>
          <t>Tracciamento Apprendimento</t>
        </is>
      </c>
      <c r="C169" s="12" t="inlineStr">
        <is>
          <t>Caliper receiver</t>
        </is>
      </c>
      <c r="D169" s="12" t="inlineStr">
        <is>
          <t>Esistente</t>
        </is>
      </c>
      <c r="E169" s="12" t="inlineStr">
        <is>
          <t>Management</t>
        </is>
      </c>
      <c r="F169" s="12" t="n"/>
    </row>
    <row r="170" ht="15" customHeight="1" s="10">
      <c r="A170" s="12" t="inlineStr">
        <is>
          <t>13. Analytics &amp; Reporting</t>
        </is>
      </c>
      <c r="B170" s="12" t="inlineStr">
        <is>
          <t>Tracciamento Apprendimento</t>
        </is>
      </c>
      <c r="C170" s="12" t="inlineStr">
        <is>
          <t>Error analytics</t>
        </is>
      </c>
      <c r="D170" s="12" t="inlineStr">
        <is>
          <t>Esistente</t>
        </is>
      </c>
      <c r="E170" s="12" t="inlineStr">
        <is>
          <t>Management</t>
        </is>
      </c>
      <c r="F170" s="12" t="n"/>
    </row>
    <row r="171" ht="15" customHeight="1" s="10">
      <c r="A171" s="12" t="inlineStr">
        <is>
          <t>13. Analytics &amp; Reporting</t>
        </is>
      </c>
      <c r="B171" s="12" t="inlineStr">
        <is>
          <t>Metriche &amp; Salute</t>
        </is>
      </c>
      <c r="C171" s="12" t="inlineStr">
        <is>
          <t>Metriche di piattaforma</t>
        </is>
      </c>
      <c r="D171" s="12" t="inlineStr">
        <is>
          <t>Esistente</t>
        </is>
      </c>
      <c r="E171" s="12" t="inlineStr">
        <is>
          <t>Management</t>
        </is>
      </c>
      <c r="F171" s="12" t="n"/>
    </row>
    <row r="172" ht="23.25" customHeight="1" s="10">
      <c r="A172" s="12" t="inlineStr">
        <is>
          <t>13. Analytics &amp; Reporting</t>
        </is>
      </c>
      <c r="B172" s="12" t="inlineStr">
        <is>
          <t>Metriche &amp; Salute</t>
        </is>
      </c>
      <c r="C172" s="12" t="inlineStr">
        <is>
          <t>Program health</t>
        </is>
      </c>
      <c r="D172" s="12" t="inlineStr">
        <is>
          <t>Esistente</t>
        </is>
      </c>
      <c r="E172" s="12" t="inlineStr">
        <is>
          <t>Management</t>
        </is>
      </c>
      <c r="F172" s="12" t="n"/>
    </row>
    <row r="173" ht="23.25" customHeight="1" s="10">
      <c r="A173" s="12" t="inlineStr">
        <is>
          <t>13. Analytics &amp; Reporting</t>
        </is>
      </c>
      <c r="B173" s="12" t="inlineStr">
        <is>
          <t>Metriche &amp; Salute</t>
        </is>
      </c>
      <c r="C173" s="12" t="inlineStr">
        <is>
          <t>Predizione readiness</t>
        </is>
      </c>
      <c r="D173" s="12" t="inlineStr">
        <is>
          <t>Esistente</t>
        </is>
      </c>
      <c r="E173" s="12" t="inlineStr">
        <is>
          <t>Management</t>
        </is>
      </c>
      <c r="F173" s="12" t="n"/>
    </row>
    <row r="174" ht="23.25" customHeight="1" s="10">
      <c r="A174" s="12" t="inlineStr">
        <is>
          <t>13. Analytics &amp; Reporting</t>
        </is>
      </c>
      <c r="B174" s="12" t="inlineStr">
        <is>
          <t>Metriche &amp; Salute</t>
        </is>
      </c>
      <c r="C174" s="12" t="inlineStr">
        <is>
          <t>Completamento corso</t>
        </is>
      </c>
      <c r="D174" s="12" t="inlineStr">
        <is>
          <t>Esistente</t>
        </is>
      </c>
      <c r="E174" s="12" t="inlineStr">
        <is>
          <t>Management</t>
        </is>
      </c>
      <c r="F174" s="12" t="n"/>
    </row>
    <row r="175" ht="23.25" customHeight="1" s="10">
      <c r="A175" s="13" t="inlineStr">
        <is>
          <t>13. Analytics &amp; Reporting</t>
        </is>
      </c>
      <c r="B175" s="13" t="inlineStr">
        <is>
          <t>Metriche &amp; Salute</t>
        </is>
      </c>
      <c r="C175" s="13" t="inlineStr">
        <is>
          <t>KPI layer storicizzato (definizioni, target, snapshot multi-dominio)</t>
        </is>
      </c>
      <c r="D175" s="13" t="inlineStr">
        <is>
          <t>Nuova</t>
        </is>
      </c>
      <c r="E175" s="13" t="inlineStr">
        <is>
          <t>Management</t>
        </is>
      </c>
      <c r="F175" s="13" t="inlineStr">
        <is>
          <t>T10 · BOOK-24</t>
        </is>
      </c>
    </row>
    <row r="176" ht="23.25" customHeight="1" s="10">
      <c r="A176" s="12" t="inlineStr">
        <is>
          <t>14. Compliance, Audit &amp; Sicurezza</t>
        </is>
      </c>
      <c r="B176" s="12" t="inlineStr">
        <is>
          <t>Compliance</t>
        </is>
      </c>
      <c r="C176" s="12" t="inlineStr">
        <is>
          <t>Motore di compliance</t>
        </is>
      </c>
      <c r="D176" s="12" t="inlineStr">
        <is>
          <t>Esistente</t>
        </is>
      </c>
      <c r="E176" s="12" t="inlineStr">
        <is>
          <t>Tech Admin / System Admin</t>
        </is>
      </c>
      <c r="F176" s="12" t="n"/>
    </row>
    <row r="177" ht="23.25" customHeight="1" s="10">
      <c r="A177" s="12" t="inlineStr">
        <is>
          <t>14. Compliance, Audit &amp; Sicurezza</t>
        </is>
      </c>
      <c r="B177" s="12" t="inlineStr">
        <is>
          <t>Compliance</t>
        </is>
      </c>
      <c r="C177" s="12" t="inlineStr">
        <is>
          <t>Calendario e posture di compliance</t>
        </is>
      </c>
      <c r="D177" s="12" t="inlineStr">
        <is>
          <t>Esistente</t>
        </is>
      </c>
      <c r="E177" s="12" t="inlineStr">
        <is>
          <t>Tech Admin / System Admin</t>
        </is>
      </c>
      <c r="F177" s="12" t="n"/>
    </row>
    <row r="178" ht="23.25" customHeight="1" s="10">
      <c r="A178" s="12" t="inlineStr">
        <is>
          <t>14. Compliance, Audit &amp; Sicurezza</t>
        </is>
      </c>
      <c r="B178" s="12" t="inlineStr">
        <is>
          <t>Compliance</t>
        </is>
      </c>
      <c r="C178" s="12" t="inlineStr">
        <is>
          <t>GDPR / FERPA — cancellazione dati (erasure)</t>
        </is>
      </c>
      <c r="D178" s="12" t="inlineStr">
        <is>
          <t>Esistente</t>
        </is>
      </c>
      <c r="E178" s="12" t="inlineStr">
        <is>
          <t>Tech Admin / System Admin</t>
        </is>
      </c>
      <c r="F178" s="12" t="n"/>
    </row>
    <row r="179" ht="23.25" customHeight="1" s="10">
      <c r="A179" s="12" t="inlineStr">
        <is>
          <t>14. Compliance, Audit &amp; Sicurezza</t>
        </is>
      </c>
      <c r="B179" s="12" t="inlineStr">
        <is>
          <t>Audit</t>
        </is>
      </c>
      <c r="C179" s="12" t="inlineStr">
        <is>
          <t>Log di audit</t>
        </is>
      </c>
      <c r="D179" s="12" t="inlineStr">
        <is>
          <t>Esistente</t>
        </is>
      </c>
      <c r="E179" s="12" t="inlineStr">
        <is>
          <t>Tech Admin / System Admin</t>
        </is>
      </c>
      <c r="F179" s="12" t="n"/>
    </row>
    <row r="180" ht="23.25" customHeight="1" s="10">
      <c r="A180" s="12" t="inlineStr">
        <is>
          <t>14. Compliance, Audit &amp; Sicurezza</t>
        </is>
      </c>
      <c r="B180" s="12" t="inlineStr">
        <is>
          <t>Audit</t>
        </is>
      </c>
      <c r="C180" s="12" t="inlineStr">
        <is>
          <t>Audit PI3</t>
        </is>
      </c>
      <c r="D180" s="12" t="inlineStr">
        <is>
          <t>Esistente</t>
        </is>
      </c>
      <c r="E180" s="12" t="inlineStr">
        <is>
          <t>Tech Admin / System Admin</t>
        </is>
      </c>
      <c r="F180" s="12" t="n"/>
    </row>
    <row r="181" ht="23.25" customHeight="1" s="10">
      <c r="A181" s="12" t="inlineStr">
        <is>
          <t>14. Compliance, Audit &amp; Sicurezza</t>
        </is>
      </c>
      <c r="B181" s="12" t="inlineStr">
        <is>
          <t>Audit</t>
        </is>
      </c>
      <c r="C181" s="12" t="inlineStr">
        <is>
          <t>Interaction ledger</t>
        </is>
      </c>
      <c r="D181" s="12" t="inlineStr">
        <is>
          <t>Esistente</t>
        </is>
      </c>
      <c r="E181" s="12" t="inlineStr">
        <is>
          <t>Tech Admin / System Admin</t>
        </is>
      </c>
      <c r="F181" s="12" t="n"/>
    </row>
    <row r="182" ht="15" customHeight="1" s="10">
      <c r="A182" s="12" t="inlineStr">
        <is>
          <t>14. Compliance, Audit &amp; Sicurezza</t>
        </is>
      </c>
      <c r="B182" s="12" t="inlineStr">
        <is>
          <t>Sicurezza</t>
        </is>
      </c>
      <c r="C182" s="12" t="inlineStr">
        <is>
          <t>Controlli egress</t>
        </is>
      </c>
      <c r="D182" s="12" t="inlineStr">
        <is>
          <t>Esistente</t>
        </is>
      </c>
      <c r="E182" s="12" t="inlineStr">
        <is>
          <t>Tech Admin / System Admin</t>
        </is>
      </c>
      <c r="F182" s="12" t="n"/>
    </row>
    <row r="183" ht="15" customHeight="1" s="10">
      <c r="A183" s="12" t="inlineStr">
        <is>
          <t>14. Compliance, Audit &amp; Sicurezza</t>
        </is>
      </c>
      <c r="B183" s="12" t="inlineStr">
        <is>
          <t>Sicurezza</t>
        </is>
      </c>
      <c r="C183" s="12" t="inlineStr">
        <is>
          <t>Rate limiting</t>
        </is>
      </c>
      <c r="D183" s="12" t="inlineStr">
        <is>
          <t>Esistente</t>
        </is>
      </c>
      <c r="E183" s="12" t="inlineStr">
        <is>
          <t>Tech Admin / System Admin</t>
        </is>
      </c>
      <c r="F183" s="12" t="n"/>
    </row>
    <row r="184" ht="15" customHeight="1" s="10">
      <c r="A184" s="12" t="inlineStr">
        <is>
          <t>14. Compliance, Audit &amp; Sicurezza</t>
        </is>
      </c>
      <c r="B184" s="12" t="inlineStr">
        <is>
          <t>Sicurezza</t>
        </is>
      </c>
      <c r="C184" s="12" t="inlineStr">
        <is>
          <t>Verifica identità / clearance</t>
        </is>
      </c>
      <c r="D184" s="12" t="inlineStr">
        <is>
          <t>Esistente</t>
        </is>
      </c>
      <c r="E184" s="12" t="inlineStr">
        <is>
          <t>Tech Admin / System Admin</t>
        </is>
      </c>
      <c r="F184" s="12" t="n"/>
    </row>
    <row r="185" ht="15" customHeight="1" s="10">
      <c r="A185" s="12" t="inlineStr">
        <is>
          <t>14. Compliance, Audit &amp; Sicurezza</t>
        </is>
      </c>
      <c r="B185" s="12" t="inlineStr">
        <is>
          <t>Sicurezza</t>
        </is>
      </c>
      <c r="C185" s="12" t="inlineStr">
        <is>
          <t>Accessibilità (WCAG)</t>
        </is>
      </c>
      <c r="D185" s="12" t="inlineStr">
        <is>
          <t>Esistente</t>
        </is>
      </c>
      <c r="E185" s="12" t="inlineStr">
        <is>
          <t>Tech Admin / System Admin</t>
        </is>
      </c>
      <c r="F185" s="12" t="n"/>
    </row>
    <row r="186" ht="15" customHeight="1" s="10">
      <c r="A186" s="12" t="inlineStr">
        <is>
          <t>15. Integrazioni &amp; Interoperabilità</t>
        </is>
      </c>
      <c r="B186" s="12" t="inlineStr">
        <is>
          <t>LMS &amp; SIS</t>
        </is>
      </c>
      <c r="C186" s="12" t="inlineStr">
        <is>
          <t>Moodle (SCORM + live sync, grade passback)</t>
        </is>
      </c>
      <c r="D186" s="12" t="inlineStr">
        <is>
          <t>Esistente</t>
        </is>
      </c>
      <c r="E186" s="12" t="inlineStr">
        <is>
          <t>Tech Admin</t>
        </is>
      </c>
      <c r="F186" s="12" t="n"/>
    </row>
    <row r="187" ht="15" customHeight="1" s="10">
      <c r="A187" s="12" t="inlineStr">
        <is>
          <t>15. Integrazioni &amp; Interoperabilità</t>
        </is>
      </c>
      <c r="B187" s="12" t="inlineStr">
        <is>
          <t>LMS &amp; SIS</t>
        </is>
      </c>
      <c r="C187" s="12" t="inlineStr">
        <is>
          <t>ESSE3 (SIS italiano)</t>
        </is>
      </c>
      <c r="D187" s="12" t="inlineStr">
        <is>
          <t>Esistente</t>
        </is>
      </c>
      <c r="E187" s="12" t="inlineStr">
        <is>
          <t>Tech Admin</t>
        </is>
      </c>
      <c r="F187" s="12" t="n"/>
    </row>
    <row r="188" ht="15" customHeight="1" s="10">
      <c r="A188" s="12" t="inlineStr">
        <is>
          <t>15. Integrazioni &amp; Interoperabilità</t>
        </is>
      </c>
      <c r="B188" s="12" t="inlineStr">
        <is>
          <t>LMS &amp; SIS</t>
        </is>
      </c>
      <c r="C188" s="12" t="inlineStr">
        <is>
          <t>OpenSIS</t>
        </is>
      </c>
      <c r="D188" s="12" t="inlineStr">
        <is>
          <t>Esistente</t>
        </is>
      </c>
      <c r="E188" s="12" t="inlineStr">
        <is>
          <t>Tech Admin</t>
        </is>
      </c>
      <c r="F188" s="12" t="n"/>
    </row>
    <row r="189" ht="15" customHeight="1" s="10">
      <c r="A189" s="12" t="inlineStr">
        <is>
          <t>15. Integrazioni &amp; Interoperabilità</t>
        </is>
      </c>
      <c r="B189" s="12" t="inlineStr">
        <is>
          <t>LMS &amp; SIS</t>
        </is>
      </c>
      <c r="C189" s="12" t="inlineStr">
        <is>
          <t>Frappe / ERP</t>
        </is>
      </c>
      <c r="D189" s="12" t="inlineStr">
        <is>
          <t>Esistente</t>
        </is>
      </c>
      <c r="E189" s="12" t="inlineStr">
        <is>
          <t>Tech Admin</t>
        </is>
      </c>
      <c r="F189" s="12" t="n"/>
    </row>
    <row r="190" ht="15" customHeight="1" s="10">
      <c r="A190" s="12" t="inlineStr">
        <is>
          <t>15. Integrazioni &amp; Interoperabilità</t>
        </is>
      </c>
      <c r="B190" s="12" t="inlineStr">
        <is>
          <t>Standard Educativi</t>
        </is>
      </c>
      <c r="C190" s="12" t="inlineStr">
        <is>
          <t>LTI 1.3</t>
        </is>
      </c>
      <c r="D190" s="12" t="inlineStr">
        <is>
          <t>Esistente</t>
        </is>
      </c>
      <c r="E190" s="12" t="inlineStr">
        <is>
          <t>Tech Admin</t>
        </is>
      </c>
      <c r="F190" s="12" t="n"/>
    </row>
    <row r="191" ht="15" customHeight="1" s="10">
      <c r="A191" s="12" t="inlineStr">
        <is>
          <t>15. Integrazioni &amp; Interoperabilità</t>
        </is>
      </c>
      <c r="B191" s="12" t="inlineStr">
        <is>
          <t>Standard Educativi</t>
        </is>
      </c>
      <c r="C191" s="12" t="inlineStr">
        <is>
          <t>xAPI / Caliper</t>
        </is>
      </c>
      <c r="D191" s="12" t="inlineStr">
        <is>
          <t>Esistente</t>
        </is>
      </c>
      <c r="E191" s="12" t="inlineStr">
        <is>
          <t>Tech Admin</t>
        </is>
      </c>
      <c r="F191" s="12" t="n"/>
    </row>
    <row r="192" ht="15" customHeight="1" s="10">
      <c r="A192" s="12" t="inlineStr">
        <is>
          <t>15. Integrazioni &amp; Interoperabilità</t>
        </is>
      </c>
      <c r="B192" s="12" t="inlineStr">
        <is>
          <t>Standard Educativi</t>
        </is>
      </c>
      <c r="C192" s="12" t="inlineStr">
        <is>
          <t>QTI</t>
        </is>
      </c>
      <c r="D192" s="12" t="inlineStr">
        <is>
          <t>Esistente</t>
        </is>
      </c>
      <c r="E192" s="12" t="inlineStr">
        <is>
          <t>Tech Admin</t>
        </is>
      </c>
      <c r="F192" s="12" t="n"/>
    </row>
    <row r="193" ht="15" customHeight="1" s="10">
      <c r="A193" s="12" t="inlineStr">
        <is>
          <t>15. Integrazioni &amp; Interoperabilità</t>
        </is>
      </c>
      <c r="B193" s="12" t="inlineStr">
        <is>
          <t>Standard Educativi</t>
        </is>
      </c>
      <c r="C193" s="12" t="inlineStr">
        <is>
          <t>Common Cartridge (CC14)</t>
        </is>
      </c>
      <c r="D193" s="12" t="inlineStr">
        <is>
          <t>Esistente</t>
        </is>
      </c>
      <c r="E193" s="12" t="inlineStr">
        <is>
          <t>Tech Admin</t>
        </is>
      </c>
      <c r="F193" s="12" t="n"/>
    </row>
    <row r="194" ht="15" customHeight="1" s="10">
      <c r="A194" s="12" t="inlineStr">
        <is>
          <t>15. Integrazioni &amp; Interoperabilità</t>
        </is>
      </c>
      <c r="B194" s="12" t="inlineStr">
        <is>
          <t>Standard Educativi</t>
        </is>
      </c>
      <c r="C194" s="12" t="inlineStr">
        <is>
          <t>EDU API</t>
        </is>
      </c>
      <c r="D194" s="12" t="inlineStr">
        <is>
          <t>Esistente</t>
        </is>
      </c>
      <c r="E194" s="12" t="inlineStr">
        <is>
          <t>Tech Admin</t>
        </is>
      </c>
      <c r="F194" s="12" t="n"/>
    </row>
    <row r="195" ht="15" customHeight="1" s="10">
      <c r="A195" s="12" t="inlineStr">
        <is>
          <t>15. Integrazioni &amp; Interoperabilità</t>
        </is>
      </c>
      <c r="B195" s="12" t="inlineStr">
        <is>
          <t>Pagamenti &amp; Firma</t>
        </is>
      </c>
      <c r="C195" s="12" t="inlineStr">
        <is>
          <t>PagoPA (Nodo dei Pagamenti)</t>
        </is>
      </c>
      <c r="D195" s="12" t="inlineStr">
        <is>
          <t>Esistente</t>
        </is>
      </c>
      <c r="E195" s="12" t="inlineStr">
        <is>
          <t>Tech Admin</t>
        </is>
      </c>
      <c r="F195" s="12" t="n"/>
    </row>
    <row r="196" ht="15" customHeight="1" s="10">
      <c r="A196" s="12" t="inlineStr">
        <is>
          <t>15. Integrazioni &amp; Interoperabilità</t>
        </is>
      </c>
      <c r="B196" s="12" t="inlineStr">
        <is>
          <t>Pagamenti &amp; Firma</t>
        </is>
      </c>
      <c r="C196" s="12" t="inlineStr">
        <is>
          <t>QES provider (firma qualificata)</t>
        </is>
      </c>
      <c r="D196" s="12" t="inlineStr">
        <is>
          <t>Esistente</t>
        </is>
      </c>
      <c r="E196" s="12" t="inlineStr">
        <is>
          <t>Tech Admin</t>
        </is>
      </c>
      <c r="F196" s="12" t="n"/>
    </row>
    <row r="197" ht="15" customHeight="1" s="10">
      <c r="A197" s="12" t="inlineStr">
        <is>
          <t>15. Integrazioni &amp; Interoperabilità</t>
        </is>
      </c>
      <c r="B197" s="12" t="inlineStr">
        <is>
          <t>Federazione</t>
        </is>
      </c>
      <c r="C197" s="12" t="inlineStr">
        <is>
          <t>Federazione istituzioni / mobilità</t>
        </is>
      </c>
      <c r="D197" s="12" t="inlineStr">
        <is>
          <t>Esistente</t>
        </is>
      </c>
      <c r="E197" s="12" t="inlineStr">
        <is>
          <t>Tech Admin</t>
        </is>
      </c>
      <c r="F197" s="12" t="n"/>
    </row>
    <row r="198" ht="15" customHeight="1" s="10">
      <c r="A198" s="12" t="inlineStr">
        <is>
          <t>16. Collaborazione Real-time</t>
        </is>
      </c>
      <c r="B198" s="12" t="inlineStr">
        <is>
          <t>Editing Collaborativo</t>
        </is>
      </c>
      <c r="C198" s="12" t="inlineStr">
        <is>
          <t>Editor collaborativo (Yjs)</t>
        </is>
      </c>
      <c r="D198" s="12" t="inlineStr">
        <is>
          <t>Esistente</t>
        </is>
      </c>
      <c r="E198" s="12" t="inlineStr">
        <is>
          <t>Teacher</t>
        </is>
      </c>
      <c r="F198" s="12" t="n"/>
    </row>
    <row r="199" ht="15" customHeight="1" s="10">
      <c r="A199" s="12" t="inlineStr">
        <is>
          <t>16. Collaborazione Real-time</t>
        </is>
      </c>
      <c r="B199" s="12" t="inlineStr">
        <is>
          <t>Editing Collaborativo</t>
        </is>
      </c>
      <c r="C199" s="12" t="inlineStr">
        <is>
          <t>WebSocket / collaboration WS</t>
        </is>
      </c>
      <c r="D199" s="12" t="inlineStr">
        <is>
          <t>Esistente</t>
        </is>
      </c>
      <c r="E199" s="12" t="inlineStr">
        <is>
          <t>Teacher</t>
        </is>
      </c>
      <c r="F199" s="12" t="n"/>
    </row>
    <row r="200" ht="15" customHeight="1" s="10">
      <c r="A200" s="12" t="inlineStr">
        <is>
          <t>16. Collaborazione Real-time</t>
        </is>
      </c>
      <c r="B200" s="12" t="inlineStr">
        <is>
          <t>Editing Collaborativo</t>
        </is>
      </c>
      <c r="C200" s="12" t="inlineStr">
        <is>
          <t>Commenti</t>
        </is>
      </c>
      <c r="D200" s="12" t="inlineStr">
        <is>
          <t>Esistente</t>
        </is>
      </c>
      <c r="E200" s="12" t="inlineStr">
        <is>
          <t>Teacher</t>
        </is>
      </c>
      <c r="F200" s="12" t="n"/>
    </row>
    <row r="201" ht="15" customHeight="1" s="10">
      <c r="A201" s="12" t="inlineStr">
        <is>
          <t>16. Collaborazione Real-time</t>
        </is>
      </c>
      <c r="B201" s="12" t="inlineStr">
        <is>
          <t>Servizi di Collaborazione</t>
        </is>
      </c>
      <c r="C201" s="12" t="inlineStr">
        <is>
          <t>Collaboration manager</t>
        </is>
      </c>
      <c r="D201" s="12" t="inlineStr">
        <is>
          <t>Esistente</t>
        </is>
      </c>
      <c r="E201" s="12" t="inlineStr">
        <is>
          <t>Teacher</t>
        </is>
      </c>
      <c r="F201" s="12" t="n"/>
    </row>
    <row r="202" ht="15" customHeight="1" s="10">
      <c r="A202" s="12" t="inlineStr">
        <is>
          <t>16. Collaborazione Real-time</t>
        </is>
      </c>
      <c r="B202" s="12" t="inlineStr">
        <is>
          <t>Servizi di Collaborazione</t>
        </is>
      </c>
      <c r="C202" s="12" t="inlineStr">
        <is>
          <t>Gestione presenza / sessioni</t>
        </is>
      </c>
      <c r="D202" s="12" t="inlineStr">
        <is>
          <t>Esistente</t>
        </is>
      </c>
      <c r="E202" s="12" t="inlineStr">
        <is>
          <t>Teacher</t>
        </is>
      </c>
      <c r="F202" s="12" t="n"/>
    </row>
    <row r="203" ht="15" customHeight="1" s="10">
      <c r="A203" s="12" t="inlineStr">
        <is>
          <t>17. Ricerca &amp; Discovery</t>
        </is>
      </c>
      <c r="B203" s="12" t="inlineStr">
        <is>
          <t>Ricerca</t>
        </is>
      </c>
      <c r="C203" s="12" t="inlineStr">
        <is>
          <t>Ricerca full-text / semantica</t>
        </is>
      </c>
      <c r="D203" s="12" t="inlineStr">
        <is>
          <t>Esistente</t>
        </is>
      </c>
      <c r="E203" s="12" t="inlineStr">
        <is>
          <t>Student</t>
        </is>
      </c>
      <c r="F203" s="12" t="n"/>
    </row>
    <row r="204" ht="15" customHeight="1" s="10">
      <c r="A204" s="12" t="inlineStr">
        <is>
          <t>17. Ricerca &amp; Discovery</t>
        </is>
      </c>
      <c r="B204" s="12" t="inlineStr">
        <is>
          <t>Ricerca</t>
        </is>
      </c>
      <c r="C204" s="12" t="inlineStr">
        <is>
          <t>Catalog explorer</t>
        </is>
      </c>
      <c r="D204" s="12" t="inlineStr">
        <is>
          <t>Esistente</t>
        </is>
      </c>
      <c r="E204" s="12" t="inlineStr">
        <is>
          <t>Student</t>
        </is>
      </c>
      <c r="F204" s="12" t="n"/>
    </row>
    <row r="205" ht="15" customHeight="1" s="10">
      <c r="A205" s="12" t="inlineStr">
        <is>
          <t>17. Ricerca &amp; Discovery</t>
        </is>
      </c>
      <c r="B205" s="12" t="inlineStr">
        <is>
          <t>Raccomandazione</t>
        </is>
      </c>
      <c r="C205" s="12" t="inlineStr">
        <is>
          <t>Raccomandazioni di corso e contenuti</t>
        </is>
      </c>
      <c r="D205" s="12" t="inlineStr">
        <is>
          <t>Esistente</t>
        </is>
      </c>
      <c r="E205" s="12" t="inlineStr">
        <is>
          <t>Student</t>
        </is>
      </c>
      <c r="F205" s="12" t="n"/>
    </row>
    <row r="206" ht="15" customHeight="1" s="10">
      <c r="A206" s="12" t="inlineStr">
        <is>
          <t>17. Ricerca &amp; Discovery</t>
        </is>
      </c>
      <c r="B206" s="12" t="inlineStr">
        <is>
          <t>Raccomandazione</t>
        </is>
      </c>
      <c r="C206" s="12" t="inlineStr">
        <is>
          <t>Career gap / suggerimenti percorso</t>
        </is>
      </c>
      <c r="D206" s="12" t="inlineStr">
        <is>
          <t>Esistente</t>
        </is>
      </c>
      <c r="E206" s="12" t="inlineStr">
        <is>
          <t>Student</t>
        </is>
      </c>
      <c r="F206" s="12" t="n"/>
    </row>
    <row r="207" ht="15" customHeight="1" s="10">
      <c r="A207" s="12" t="inlineStr">
        <is>
          <t>18. Operations &amp; Infrastruttura</t>
        </is>
      </c>
      <c r="B207" s="12" t="inlineStr">
        <is>
          <t>Salute &amp; Monitoraggio</t>
        </is>
      </c>
      <c r="C207" s="12" t="inlineStr">
        <is>
          <t>Health check (dev / produzione)</t>
        </is>
      </c>
      <c r="D207" s="12" t="inlineStr">
        <is>
          <t>Esistente</t>
        </is>
      </c>
      <c r="E207" s="12" t="inlineStr">
        <is>
          <t>System Admin</t>
        </is>
      </c>
      <c r="F207" s="12" t="n"/>
    </row>
    <row r="208" ht="15" customHeight="1" s="10">
      <c r="A208" s="12" t="inlineStr">
        <is>
          <t>18. Operations &amp; Infrastruttura</t>
        </is>
      </c>
      <c r="B208" s="12" t="inlineStr">
        <is>
          <t>Salute &amp; Monitoraggio</t>
        </is>
      </c>
      <c r="C208" s="12" t="inlineStr">
        <is>
          <t>Metriche e osservabilità</t>
        </is>
      </c>
      <c r="D208" s="12" t="inlineStr">
        <is>
          <t>Esistente</t>
        </is>
      </c>
      <c r="E208" s="12" t="inlineStr">
        <is>
          <t>System Admin</t>
        </is>
      </c>
      <c r="F208" s="12" t="n"/>
    </row>
    <row r="209" ht="15" customHeight="1" s="10">
      <c r="A209" s="12" t="inlineStr">
        <is>
          <t>18. Operations &amp; Infrastruttura</t>
        </is>
      </c>
      <c r="B209" s="12" t="inlineStr">
        <is>
          <t>Salute &amp; Monitoraggio</t>
        </is>
      </c>
      <c r="C209" s="12" t="inlineStr">
        <is>
          <t>Alert webhook</t>
        </is>
      </c>
      <c r="D209" s="12" t="inlineStr">
        <is>
          <t>Esistente</t>
        </is>
      </c>
      <c r="E209" s="12" t="inlineStr">
        <is>
          <t>System Admin</t>
        </is>
      </c>
      <c r="F209" s="12" t="n"/>
    </row>
    <row r="210" ht="15" customHeight="1" s="10">
      <c r="A210" s="12" t="inlineStr">
        <is>
          <t>18. Operations &amp; Infrastruttura</t>
        </is>
      </c>
      <c r="B210" s="12" t="inlineStr">
        <is>
          <t>Resilienza</t>
        </is>
      </c>
      <c r="C210" s="12" t="inlineStr">
        <is>
          <t>Esercizi di Disaster Recovery</t>
        </is>
      </c>
      <c r="D210" s="12" t="inlineStr">
        <is>
          <t>Esistente</t>
        </is>
      </c>
      <c r="E210" s="12" t="inlineStr">
        <is>
          <t>System Admin</t>
        </is>
      </c>
      <c r="F210" s="12" t="n"/>
    </row>
    <row r="211" ht="15" customHeight="1" s="10">
      <c r="A211" s="12" t="inlineStr">
        <is>
          <t>18. Operations &amp; Infrastruttura</t>
        </is>
      </c>
      <c r="B211" s="12" t="inlineStr">
        <is>
          <t>Resilienza</t>
        </is>
      </c>
      <c r="C211" s="12" t="inlineStr">
        <is>
          <t>Event outbox / relay</t>
        </is>
      </c>
      <c r="D211" s="12" t="inlineStr">
        <is>
          <t>Esistente</t>
        </is>
      </c>
      <c r="E211" s="12" t="inlineStr">
        <is>
          <t>System Admin</t>
        </is>
      </c>
      <c r="F211" s="12" t="n"/>
    </row>
    <row r="212" ht="15" customHeight="1" s="10">
      <c r="A212" s="12" t="inlineStr">
        <is>
          <t>18. Operations &amp; Infrastruttura</t>
        </is>
      </c>
      <c r="B212" s="12" t="inlineStr">
        <is>
          <t>Resilienza</t>
        </is>
      </c>
      <c r="C212" s="12" t="inlineStr">
        <is>
          <t>Batch processing</t>
        </is>
      </c>
      <c r="D212" s="12" t="inlineStr">
        <is>
          <t>Esistente</t>
        </is>
      </c>
      <c r="E212" s="12" t="inlineStr">
        <is>
          <t>System Admin</t>
        </is>
      </c>
      <c r="F212" s="12" t="n"/>
    </row>
    <row r="213" ht="15" customHeight="1" s="10">
      <c r="A213" s="12" t="inlineStr">
        <is>
          <t>18. Operations &amp; Infrastruttura</t>
        </is>
      </c>
      <c r="B213" s="12" t="inlineStr">
        <is>
          <t>API Interne</t>
        </is>
      </c>
      <c r="C213" s="12" t="inlineStr">
        <is>
          <t>Endpoint interni (callback LLM, HeyGen, PagoPA, QES, ESSE3)</t>
        </is>
      </c>
      <c r="D213" s="12" t="inlineStr">
        <is>
          <t>Esistente</t>
        </is>
      </c>
      <c r="E213" s="12" t="inlineStr">
        <is>
          <t>System Admin</t>
        </is>
      </c>
      <c r="F213" s="12" t="n"/>
    </row>
    <row r="214" ht="15" customHeight="1" s="10">
      <c r="A214" s="14" t="inlineStr">
        <is>
          <t>18. Operations &amp; Infrastruttura</t>
        </is>
      </c>
      <c r="B214" s="14" t="inlineStr">
        <is>
          <t>Demo &amp; Abilitazione</t>
        </is>
      </c>
      <c r="C214" s="14" t="inlineStr">
        <is>
          <t>Tenant demo con seed data sintetici riproducibili</t>
        </is>
      </c>
      <c r="D214" s="14" t="inlineStr">
        <is>
          <t>Nuova</t>
        </is>
      </c>
      <c r="E214" s="14" t="inlineStr">
        <is>
          <t>System Admin</t>
        </is>
      </c>
      <c r="F214" s="14" t="inlineStr">
        <is>
          <t>NEW-32</t>
        </is>
      </c>
    </row>
    <row r="215" ht="15" customHeight="1" s="10">
      <c r="A215" s="14" t="inlineStr">
        <is>
          <t>18. Operations &amp; Infrastruttura</t>
        </is>
      </c>
      <c r="B215" s="14" t="inlineStr">
        <is>
          <t>Demo &amp; Abilitazione</t>
        </is>
      </c>
      <c r="C215" s="14" t="inlineStr">
        <is>
          <t>Scenari dimostrativi guidati per le 9 personas (script E2E automatizzati)</t>
        </is>
      </c>
      <c r="D215" s="14" t="inlineStr">
        <is>
          <t>Nuova</t>
        </is>
      </c>
      <c r="E215" s="14" t="inlineStr">
        <is>
          <t>Tutte</t>
        </is>
      </c>
      <c r="F215" s="14" t="inlineStr">
        <is>
          <t>NEW-32</t>
        </is>
      </c>
    </row>
    <row r="216" ht="15" customHeight="1" s="10">
      <c r="A216" s="13" t="inlineStr">
        <is>
          <t>19. Ammissioni &amp; Pre-Valutazione Titoli</t>
        </is>
      </c>
      <c r="B216" s="13" t="inlineStr">
        <is>
          <t>Funnel di Ammissione</t>
        </is>
      </c>
      <c r="C216" s="13" t="inlineStr">
        <is>
          <t>Finestre di ammissione (intake) con requisiti per programma</t>
        </is>
      </c>
      <c r="D216" s="13" t="inlineStr">
        <is>
          <t>Nuova</t>
        </is>
      </c>
      <c r="E216" s="13" t="inlineStr">
        <is>
          <t>BackOffice / Dean</t>
        </is>
      </c>
      <c r="F216" s="13" t="inlineStr">
        <is>
          <t>T1 · BOOK-21</t>
        </is>
      </c>
    </row>
    <row r="217" ht="15" customHeight="1" s="10">
      <c r="A217" s="13" t="inlineStr">
        <is>
          <t>19. Ammissioni &amp; Pre-Valutazione Titoli</t>
        </is>
      </c>
      <c r="B217" s="13" t="inlineStr">
        <is>
          <t>Funnel di Ammissione</t>
        </is>
      </c>
      <c r="C217" s="13" t="inlineStr">
        <is>
          <t>Domanda di ammissione (application) con stato e documenti</t>
        </is>
      </c>
      <c r="D217" s="13" t="inlineStr">
        <is>
          <t>Nuova</t>
        </is>
      </c>
      <c r="E217" s="13" t="inlineStr">
        <is>
          <t>Student</t>
        </is>
      </c>
      <c r="F217" s="13" t="inlineStr">
        <is>
          <t>T1 · BOOK-21</t>
        </is>
      </c>
    </row>
    <row r="218" ht="15" customHeight="1" s="10">
      <c r="A218" s="13" t="inlineStr">
        <is>
          <t>19. Ammissioni &amp; Pre-Valutazione Titoli</t>
        </is>
      </c>
      <c r="B218" s="13" t="inlineStr">
        <is>
          <t>Funnel di Ammissione</t>
        </is>
      </c>
      <c r="C218" s="13" t="inlineStr">
        <is>
          <t>Conversione lead CRM → application</t>
        </is>
      </c>
      <c r="D218" s="13" t="inlineStr">
        <is>
          <t>Nuova</t>
        </is>
      </c>
      <c r="E218" s="13" t="inlineStr">
        <is>
          <t>MKO / BackOffice</t>
        </is>
      </c>
      <c r="F218" s="13" t="inlineStr">
        <is>
          <t>T1 · crm_*</t>
        </is>
      </c>
    </row>
    <row r="219" ht="15" customHeight="1" s="10">
      <c r="A219" s="13" t="inlineStr">
        <is>
          <t>19. Ammissioni &amp; Pre-Valutazione Titoli</t>
        </is>
      </c>
      <c r="B219" s="13" t="inlineStr">
        <is>
          <t>Funnel di Ammissione</t>
        </is>
      </c>
      <c r="C219" s="13" t="inlineStr">
        <is>
          <t>Offerta di ammissione, accettazione, scadenze</t>
        </is>
      </c>
      <c r="D219" s="13" t="inlineStr">
        <is>
          <t>Nuova</t>
        </is>
      </c>
      <c r="E219" s="13" t="inlineStr">
        <is>
          <t>BackOffice</t>
        </is>
      </c>
      <c r="F219" s="13" t="inlineStr">
        <is>
          <t>T1</t>
        </is>
      </c>
    </row>
    <row r="220" ht="15" customHeight="1" s="10">
      <c r="A220" s="13" t="inlineStr">
        <is>
          <t>19. Ammissioni &amp; Pre-Valutazione Titoli</t>
        </is>
      </c>
      <c r="B220" s="13" t="inlineStr">
        <is>
          <t>Pre-Valutazione dei Titoli di Studio</t>
        </is>
      </c>
      <c r="C220" s="13" t="inlineStr">
        <is>
          <t>Caricamento titoli e documenti (diploma, transcript, ID)</t>
        </is>
      </c>
      <c r="D220" s="13" t="inlineStr">
        <is>
          <t>Nuova</t>
        </is>
      </c>
      <c r="E220" s="13" t="inlineStr">
        <is>
          <t>Student</t>
        </is>
      </c>
      <c r="F220" s="13" t="inlineStr">
        <is>
          <t>T1</t>
        </is>
      </c>
    </row>
    <row r="221" ht="15" customHeight="1" s="10">
      <c r="A221" s="13" t="inlineStr">
        <is>
          <t>19. Ammissioni &amp; Pre-Valutazione Titoli</t>
        </is>
      </c>
      <c r="B221" s="13" t="inlineStr">
        <is>
          <t>Pre-Valutazione dei Titoli di Studio</t>
        </is>
      </c>
      <c r="C221" s="13" t="inlineStr">
        <is>
          <t>Valutazione AI tier-1 dei titoli (equivalenze, confidenza, DM 931/2024 / PLA)</t>
        </is>
      </c>
      <c r="D221" s="13" t="inlineStr">
        <is>
          <t>Nuova</t>
        </is>
      </c>
      <c r="E221" s="13" t="inlineStr">
        <is>
          <t>BackOffice</t>
        </is>
      </c>
      <c r="F221" s="13" t="inlineStr">
        <is>
          <t>T1 · BOOK-21/14A</t>
        </is>
      </c>
    </row>
    <row r="222" ht="15" customHeight="1" s="10">
      <c r="A222" s="13" t="inlineStr">
        <is>
          <t>19. Ammissioni &amp; Pre-Valutazione Titoli</t>
        </is>
      </c>
      <c r="B222" s="13" t="inlineStr">
        <is>
          <t>Pre-Valutazione dei Titoli di Studio</t>
        </is>
      </c>
      <c r="C222" s="13" t="inlineStr">
        <is>
          <t>Valutazione assistita / commissione (HITL)</t>
        </is>
      </c>
      <c r="D222" s="13" t="inlineStr">
        <is>
          <t>Nuova</t>
        </is>
      </c>
      <c r="E222" s="13" t="inlineStr">
        <is>
          <t>Dean / BackOffice</t>
        </is>
      </c>
      <c r="F222" s="13" t="inlineStr">
        <is>
          <t>T1</t>
        </is>
      </c>
    </row>
    <row r="223" ht="23.25" customHeight="1" s="10">
      <c r="A223" s="13" t="inlineStr">
        <is>
          <t>19. Ammissioni &amp; Pre-Valutazione Titoli</t>
        </is>
      </c>
      <c r="B223" s="13" t="inlineStr">
        <is>
          <t>Pre-Valutazione dei Titoli di Studio</t>
        </is>
      </c>
      <c r="C223" s="13" t="inlineStr">
        <is>
          <t>Verdetto di eleggibilità contro i requisiti del programma</t>
        </is>
      </c>
      <c r="D223" s="13" t="inlineStr">
        <is>
          <t>Nuova</t>
        </is>
      </c>
      <c r="E223" s="13" t="inlineStr">
        <is>
          <t>BackOffice</t>
        </is>
      </c>
      <c r="F223" s="13" t="inlineStr">
        <is>
          <t>T1</t>
        </is>
      </c>
    </row>
    <row r="224" ht="23.25" customHeight="1" s="10">
      <c r="A224" s="13" t="inlineStr">
        <is>
          <t>19. Ammissioni &amp; Pre-Valutazione Titoli</t>
        </is>
      </c>
      <c r="B224" s="13" t="inlineStr">
        <is>
          <t>Orientamento</t>
        </is>
      </c>
      <c r="C224" s="13" t="inlineStr">
        <is>
          <t>Raccomandazione programma e percorso (GPS pre-iscrizione)</t>
        </is>
      </c>
      <c r="D224" s="13" t="inlineStr">
        <is>
          <t>Nuova</t>
        </is>
      </c>
      <c r="E224" s="13" t="inlineStr">
        <is>
          <t>Student</t>
        </is>
      </c>
      <c r="F224" s="13" t="inlineStr">
        <is>
          <t>T1 · BOOK-14</t>
        </is>
      </c>
    </row>
    <row r="225" ht="23.25" customHeight="1" s="10">
      <c r="A225" s="15" t="inlineStr">
        <is>
          <t>19. Ammissioni &amp; Pre-Valutazione Titoli</t>
        </is>
      </c>
      <c r="B225" s="15" t="inlineStr">
        <is>
          <t>Orientamento</t>
        </is>
      </c>
      <c r="C225" s="15" t="inlineStr">
        <is>
          <t>Preview crediti riconoscibili (aggancio pre-valutazione crediti G16)</t>
        </is>
      </c>
      <c r="D225" s="15" t="inlineStr">
        <is>
          <t>Estensione</t>
        </is>
      </c>
      <c r="E225" s="15" t="inlineStr">
        <is>
          <t>Student</t>
        </is>
      </c>
      <c r="F225" s="15" t="inlineStr">
        <is>
          <t>T1 · BOOK-14A</t>
        </is>
      </c>
    </row>
    <row r="226" ht="23.25" customHeight="1" s="10">
      <c r="A226" s="15" t="inlineStr">
        <is>
          <t>19. Ammissioni &amp; Pre-Valutazione Titoli</t>
        </is>
      </c>
      <c r="B226" s="15" t="inlineStr">
        <is>
          <t>Orientamento</t>
        </is>
      </c>
      <c r="C226" s="15" t="inlineStr">
        <is>
          <t>Simulazione what-if durata/costo del percorso</t>
        </is>
      </c>
      <c r="D226" s="15" t="inlineStr">
        <is>
          <t>Estensione</t>
        </is>
      </c>
      <c r="E226" s="15" t="inlineStr">
        <is>
          <t>Student</t>
        </is>
      </c>
      <c r="F226" s="15" t="inlineStr">
        <is>
          <t>G15 · BOOK-14</t>
        </is>
      </c>
    </row>
    <row r="227" ht="23.25" customHeight="1" s="10">
      <c r="A227" s="13" t="inlineStr">
        <is>
          <t>19. Ammissioni &amp; Pre-Valutazione Titoli</t>
        </is>
      </c>
      <c r="B227" s="13" t="inlineStr">
        <is>
          <t>Immatricolazione</t>
        </is>
      </c>
      <c r="C227" s="13" t="inlineStr">
        <is>
          <t>Evento ApplicantMatriculated: creazione utente, fascicolo, prima fattura</t>
        </is>
      </c>
      <c r="D227" s="13" t="inlineStr">
        <is>
          <t>Nuova</t>
        </is>
      </c>
      <c r="E227" s="13" t="inlineStr">
        <is>
          <t>BackOffice</t>
        </is>
      </c>
      <c r="F227" s="13" t="inlineStr">
        <is>
          <t>T1/T7/T8</t>
        </is>
      </c>
    </row>
    <row r="228" ht="23.25" customHeight="1" s="10">
      <c r="A228" s="15" t="inlineStr">
        <is>
          <t>19. Ammissioni &amp; Pre-Valutazione Titoli</t>
        </is>
      </c>
      <c r="B228" s="15" t="inlineStr">
        <is>
          <t>Immatricolazione</t>
        </is>
      </c>
      <c r="C228" s="15" t="inlineStr">
        <is>
          <t>Verifica identità in immatricolazione (G13)</t>
        </is>
      </c>
      <c r="D228" s="15" t="inlineStr">
        <is>
          <t>Estensione</t>
        </is>
      </c>
      <c r="E228" s="15" t="inlineStr">
        <is>
          <t>BackOffice</t>
        </is>
      </c>
      <c r="F228" s="15" t="inlineStr">
        <is>
          <t>T8</t>
        </is>
      </c>
    </row>
    <row r="229" ht="23.25" customHeight="1" s="10">
      <c r="A229" s="13" t="inlineStr">
        <is>
          <t>19. Ammissioni &amp; Pre-Valutazione Titoli</t>
        </is>
      </c>
      <c r="B229" s="13" t="inlineStr">
        <is>
          <t>Pre-Valutazione Crediti (dettaglio)</t>
        </is>
      </c>
      <c r="C229" s="13" t="inlineStr">
        <is>
          <t>Wizard richiesta con checklist documenti dinamica per percorso (triennale/magistrale/estera/religiosa)</t>
        </is>
      </c>
      <c r="D229" s="13" t="inlineStr">
        <is>
          <t>Nuova</t>
        </is>
      </c>
      <c r="E229" s="13" t="inlineStr">
        <is>
          <t>Student</t>
        </is>
      </c>
      <c r="F229" s="13" t="inlineStr">
        <is>
          <t>PREVAL_SPEC §4</t>
        </is>
      </c>
    </row>
    <row r="230" ht="23.25" customHeight="1" s="10">
      <c r="A230" s="13" t="inlineStr">
        <is>
          <t>19. Ammissioni &amp; Pre-Valutazione Titoli</t>
        </is>
      </c>
      <c r="B230" s="13" t="inlineStr">
        <is>
          <t>Pre-Valutazione Crediti (dettaglio)</t>
        </is>
      </c>
      <c r="C230" s="13" t="inlineStr">
        <is>
          <t>Intake documenti: classificazione, OCR, gate di lavorabilità (identità, anagrafica, dedup/omonimie)</t>
        </is>
      </c>
      <c r="D230" s="13" t="inlineStr">
        <is>
          <t>Nuova</t>
        </is>
      </c>
      <c r="E230" s="13" t="inlineStr">
        <is>
          <t>Student / BackOffice</t>
        </is>
      </c>
      <c r="F230" s="13" t="inlineStr">
        <is>
          <t>PREVAL_SPEC A1</t>
        </is>
      </c>
    </row>
    <row r="231" ht="23.25" customHeight="1" s="10">
      <c r="A231" s="13" t="inlineStr">
        <is>
          <t>19. Ammissioni &amp; Pre-Valutazione Titoli</t>
        </is>
      </c>
      <c r="B231" s="13" t="inlineStr">
        <is>
          <t>Pre-Valutazione Crediti (dettaglio)</t>
        </is>
      </c>
      <c r="C231" s="13" t="inlineStr">
        <is>
          <t>Parsing transcript: esami, SSD, CFU, voti; rilevazione ordinamento V.O./509/270</t>
        </is>
      </c>
      <c r="D231" s="13" t="inlineStr">
        <is>
          <t>Nuova</t>
        </is>
      </c>
      <c r="E231" s="13" t="inlineStr">
        <is>
          <t>BackOffice</t>
        </is>
      </c>
      <c r="F231" s="13" t="inlineStr">
        <is>
          <t>PREVAL_SPEC A2</t>
        </is>
      </c>
    </row>
    <row r="232" ht="23.25" customHeight="1" s="10">
      <c r="A232" s="13" t="inlineStr">
        <is>
          <t>19. Ammissioni &amp; Pre-Valutazione Titoli</t>
        </is>
      </c>
      <c r="B232" s="13" t="inlineStr">
        <is>
          <t>Pre-Valutazione Crediti (dettaglio)</t>
        </is>
      </c>
      <c r="C232" s="13" t="inlineStr">
        <is>
          <t>Validazione carriera di provenienza (CINECA/AFAM, pontificie, estere DoV/CIMEA/ARDI, SSML convenzionate)</t>
        </is>
      </c>
      <c r="D232" s="13" t="inlineStr">
        <is>
          <t>Nuova</t>
        </is>
      </c>
      <c r="E232" s="13" t="inlineStr">
        <is>
          <t>BackOffice</t>
        </is>
      </c>
      <c r="F232" s="13" t="inlineStr">
        <is>
          <t>PREVAL_SPEC A3</t>
        </is>
      </c>
    </row>
    <row r="233" ht="15" customHeight="1" s="10">
      <c r="A233" s="13" t="inlineStr">
        <is>
          <t>19. Ammissioni &amp; Pre-Valutazione Titoli</t>
        </is>
      </c>
      <c r="B233" s="13" t="inlineStr">
        <is>
          <t>Pre-Valutazione Crediti (dettaglio)</t>
        </is>
      </c>
      <c r="C233" s="13" t="inlineStr">
        <is>
          <t>Registro certificazioni informatiche/linguistiche valide e non valide</t>
        </is>
      </c>
      <c r="D233" s="13" t="inlineStr">
        <is>
          <t>Nuova</t>
        </is>
      </c>
      <c r="E233" s="13" t="inlineStr">
        <is>
          <t>BackOffice / Dean</t>
        </is>
      </c>
      <c r="F233" s="13" t="inlineStr">
        <is>
          <t>PREVAL_SPEC A4</t>
        </is>
      </c>
    </row>
    <row r="234" ht="15" customHeight="1" s="10">
      <c r="A234" s="13" t="inlineStr">
        <is>
          <t>19. Ammissioni &amp; Pre-Valutazione Titoli</t>
        </is>
      </c>
      <c r="B234" s="13" t="inlineStr">
        <is>
          <t>Pre-Valutazione Crediti (dettaglio)</t>
        </is>
      </c>
      <c r="C234" s="13" t="inlineStr">
        <is>
          <t>SSD mapper: SSDiario digitale + crosswalk SSD vecchi→nuovi</t>
        </is>
      </c>
      <c r="D234" s="13" t="inlineStr">
        <is>
          <t>Nuova</t>
        </is>
      </c>
      <c r="E234" s="13" t="inlineStr">
        <is>
          <t>BackOffice</t>
        </is>
      </c>
      <c r="F234" s="13" t="inlineStr">
        <is>
          <t>PREVAL_SPEC A5</t>
        </is>
      </c>
    </row>
    <row r="235" ht="15" customHeight="1" s="10">
      <c r="A235" s="13" t="inlineStr">
        <is>
          <t>19. Ammissioni &amp; Pre-Valutazione Titoli</t>
        </is>
      </c>
      <c r="B235" s="13" t="inlineStr">
        <is>
          <t>Pre-Valutazione Crediti (dettaglio)</t>
        </is>
      </c>
      <c r="C235" s="13" t="inlineStr">
        <is>
          <t>Griglie CDS digitalizzate con rule pack di deroghe versionati per a.a.</t>
        </is>
      </c>
      <c r="D235" s="13" t="inlineStr">
        <is>
          <t>Nuova</t>
        </is>
      </c>
      <c r="E235" s="13" t="inlineStr">
        <is>
          <t>Dean</t>
        </is>
      </c>
      <c r="F235" s="13" t="inlineStr">
        <is>
          <t>PREVAL_SPEC A6</t>
        </is>
      </c>
    </row>
    <row r="236" ht="15" customHeight="1" s="10">
      <c r="A236" s="13" t="inlineStr">
        <is>
          <t>19. Ammissioni &amp; Pre-Valutazione Titoli</t>
        </is>
      </c>
      <c r="B236" s="13" t="inlineStr">
        <is>
          <t>Pre-Valutazione Crediti (dettaglio)</t>
        </is>
      </c>
      <c r="C236" s="13" t="inlineStr">
        <is>
          <t>Motore di matching SSD→griglia (precedenze, integrazioni, esuberi, seminario, tirocinio) e calcolo CFU/anno/OFA</t>
        </is>
      </c>
      <c r="D236" s="13" t="inlineStr">
        <is>
          <t>Nuova</t>
        </is>
      </c>
      <c r="E236" s="13" t="inlineStr">
        <is>
          <t>BackOffice</t>
        </is>
      </c>
      <c r="F236" s="13" t="inlineStr">
        <is>
          <t>PREVAL_SPEC A6</t>
        </is>
      </c>
    </row>
    <row r="237" ht="15" customHeight="1" s="10">
      <c r="A237" s="13" t="inlineStr">
        <is>
          <t>19. Ammissioni &amp; Pre-Valutazione Titoli</t>
        </is>
      </c>
      <c r="B237" s="13" t="inlineStr">
        <is>
          <t>Pre-Valutazione Crediti (dettaglio)</t>
        </is>
      </c>
      <c r="C237" s="13" t="inlineStr">
        <is>
          <t>VRA automatico per magistrali (4 esiti, crosswalk classi 509↔270)</t>
        </is>
      </c>
      <c r="D237" s="13" t="inlineStr">
        <is>
          <t>Nuova</t>
        </is>
      </c>
      <c r="E237" s="13" t="inlineStr">
        <is>
          <t>BackOffice</t>
        </is>
      </c>
      <c r="F237" s="13" t="inlineStr">
        <is>
          <t>PREVAL_SPEC A7</t>
        </is>
      </c>
    </row>
    <row r="238" ht="15" customHeight="1" s="10">
      <c r="A238" s="13" t="inlineStr">
        <is>
          <t>19. Ammissioni &amp; Pre-Valutazione Titoli</t>
        </is>
      </c>
      <c r="B238" s="13" t="inlineStr">
        <is>
          <t>Pre-Valutazione Crediti (dettaglio)</t>
        </is>
      </c>
      <c r="C238" s="13" t="inlineStr">
        <is>
          <t>Stima immediata allo studente con banda di confidenza e what-if multi-CDS</t>
        </is>
      </c>
      <c r="D238" s="13" t="inlineStr">
        <is>
          <t>Nuova</t>
        </is>
      </c>
      <c r="E238" s="13" t="inlineStr">
        <is>
          <t>Student</t>
        </is>
      </c>
      <c r="F238" s="13" t="inlineStr">
        <is>
          <t>PREVAL_SPEC §4</t>
        </is>
      </c>
    </row>
    <row r="239" ht="15" customHeight="1" s="10">
      <c r="A239" s="13" t="inlineStr">
        <is>
          <t>19. Ammissioni &amp; Pre-Valutazione Titoli</t>
        </is>
      </c>
      <c r="B239" s="13" t="inlineStr">
        <is>
          <t>Pre-Valutazione Crediti (dettaglio)</t>
        </is>
      </c>
      <c r="C239" s="13" t="inlineStr">
        <is>
          <t>Coda revisione HITL per confidenza, vista side-by-side, override motivati per riga</t>
        </is>
      </c>
      <c r="D239" s="13" t="inlineStr">
        <is>
          <t>Nuova</t>
        </is>
      </c>
      <c r="E239" s="13" t="inlineStr">
        <is>
          <t>BackOffice</t>
        </is>
      </c>
      <c r="F239" s="13" t="inlineStr">
        <is>
          <t>PREVAL_SPEC A8</t>
        </is>
      </c>
    </row>
    <row r="240" ht="15" customHeight="1" s="10">
      <c r="A240" s="13" t="inlineStr">
        <is>
          <t>19. Ammissioni &amp; Pre-Valutazione Titoli</t>
        </is>
      </c>
      <c r="B240" s="13" t="inlineStr">
        <is>
          <t>Pre-Valutazione Crediti (dettaglio)</t>
        </is>
      </c>
      <c r="C240" s="13" t="inlineStr">
        <is>
          <t>Scheda di pre-valutazione come oggetto dato: composizione, rendering PDF/Word, pubblicazione</t>
        </is>
      </c>
      <c r="D240" s="13" t="inlineStr">
        <is>
          <t>Nuova</t>
        </is>
      </c>
      <c r="E240" s="13" t="inlineStr">
        <is>
          <t>BackOffice</t>
        </is>
      </c>
      <c r="F240" s="13" t="inlineStr">
        <is>
          <t>PREVAL_SPEC A9</t>
        </is>
      </c>
    </row>
    <row r="241" ht="15" customHeight="1" s="10">
      <c r="A241" s="13" t="inlineStr">
        <is>
          <t>19. Ammissioni &amp; Pre-Valutazione Titoli</t>
        </is>
      </c>
      <c r="B241" s="13" t="inlineStr">
        <is>
          <t>Pre-Valutazione Crediti (dettaglio)</t>
        </is>
      </c>
      <c r="C241" s="13" t="inlineStr">
        <is>
          <t>Accettazione e controfirma elettronica dello studente; immutabilità post-firma</t>
        </is>
      </c>
      <c r="D241" s="13" t="inlineStr">
        <is>
          <t>Nuova</t>
        </is>
      </c>
      <c r="E241" s="13" t="inlineStr">
        <is>
          <t>Student</t>
        </is>
      </c>
      <c r="F241" s="13" t="inlineStr">
        <is>
          <t>PREVAL_SPEC §3</t>
        </is>
      </c>
    </row>
    <row r="242" ht="15" customHeight="1" s="10">
      <c r="A242" s="13" t="inlineStr">
        <is>
          <t>19. Ammissioni &amp; Pre-Valutazione Titoli</t>
        </is>
      </c>
      <c r="B242" s="13" t="inlineStr">
        <is>
          <t>Pre-Valutazione Crediti (dettaglio)</t>
        </is>
      </c>
      <c r="C242" s="13" t="inlineStr">
        <is>
          <t>Learning loop: golden set da pratiche storiche, metriche accuracy, GA gate su rilascio regole</t>
        </is>
      </c>
      <c r="D242" s="13" t="inlineStr">
        <is>
          <t>Nuova</t>
        </is>
      </c>
      <c r="E242" s="13" t="inlineStr">
        <is>
          <t>Admin AI Engineering</t>
        </is>
      </c>
      <c r="F242" s="13" t="inlineStr">
        <is>
          <t>PREVAL_SPEC §7</t>
        </is>
      </c>
    </row>
    <row r="243" ht="15" customHeight="1" s="10">
      <c r="A243" s="13" t="inlineStr">
        <is>
          <t>20. Faculty Lifecycle &amp; Contrattualizzazione</t>
        </is>
      </c>
      <c r="B243" s="13" t="inlineStr">
        <is>
          <t>Onboarding Docente</t>
        </is>
      </c>
      <c r="C243" s="13" t="inlineStr">
        <is>
          <t>Registrazione docente e creazione account</t>
        </is>
      </c>
      <c r="D243" s="13" t="inlineStr">
        <is>
          <t>Nuova</t>
        </is>
      </c>
      <c r="E243" s="13" t="inlineStr">
        <is>
          <t>Teacher</t>
        </is>
      </c>
      <c r="F243" s="13" t="inlineStr">
        <is>
          <t>T4 · BOOK-22</t>
        </is>
      </c>
    </row>
    <row r="244" ht="15" customHeight="1" s="10">
      <c r="A244" s="13" t="inlineStr">
        <is>
          <t>20. Faculty Lifecycle &amp; Contrattualizzazione</t>
        </is>
      </c>
      <c r="B244" s="13" t="inlineStr">
        <is>
          <t>Onboarding Docente</t>
        </is>
      </c>
      <c r="C244" s="13" t="inlineStr">
        <is>
          <t>Upload documenti: ID personale, career transcript, dati fiscali</t>
        </is>
      </c>
      <c r="D244" s="13" t="inlineStr">
        <is>
          <t>Nuova</t>
        </is>
      </c>
      <c r="E244" s="13" t="inlineStr">
        <is>
          <t>Teacher</t>
        </is>
      </c>
      <c r="F244" s="13" t="inlineStr">
        <is>
          <t>T4 · Course Creation v1.0</t>
        </is>
      </c>
    </row>
    <row r="245" ht="15" customHeight="1" s="10">
      <c r="A245" s="13" t="inlineStr">
        <is>
          <t>20. Faculty Lifecycle &amp; Contrattualizzazione</t>
        </is>
      </c>
      <c r="B245" s="13" t="inlineStr">
        <is>
          <t>Onboarding Docente</t>
        </is>
      </c>
      <c r="C245" s="13" t="inlineStr">
        <is>
          <t>Verifica documenti da back-office e attivazione profilo</t>
        </is>
      </c>
      <c r="D245" s="13" t="inlineStr">
        <is>
          <t>Nuova</t>
        </is>
      </c>
      <c r="E245" s="13" t="inlineStr">
        <is>
          <t>BackOffice</t>
        </is>
      </c>
      <c r="F245" s="13" t="inlineStr">
        <is>
          <t>T4</t>
        </is>
      </c>
    </row>
    <row r="246" ht="15" customHeight="1" s="10">
      <c r="A246" s="13" t="inlineStr">
        <is>
          <t>20. Faculty Lifecycle &amp; Contrattualizzazione</t>
        </is>
      </c>
      <c r="B246" s="13" t="inlineStr">
        <is>
          <t>Contrattualizzazione Authoring</t>
        </is>
      </c>
      <c r="C246" s="13" t="inlineStr">
        <is>
          <t>Generazione contratto da template (corso, formato FEX, compenso)</t>
        </is>
      </c>
      <c r="D246" s="13" t="inlineStr">
        <is>
          <t>Nuova</t>
        </is>
      </c>
      <c r="E246" s="13" t="inlineStr">
        <is>
          <t>Provost / CFO</t>
        </is>
      </c>
      <c r="F246" s="13" t="inlineStr">
        <is>
          <t>T4</t>
        </is>
      </c>
    </row>
    <row r="247" ht="15" customHeight="1" s="10">
      <c r="A247" s="13" t="inlineStr">
        <is>
          <t>20. Faculty Lifecycle &amp; Contrattualizzazione</t>
        </is>
      </c>
      <c r="B247" s="13" t="inlineStr">
        <is>
          <t>Contrattualizzazione Authoring</t>
        </is>
      </c>
      <c r="C247" s="13" t="inlineStr">
        <is>
          <t>Firma digitale multi-ruolo: Provost/CFO/ufficio + docente (QES eIDAS)</t>
        </is>
      </c>
      <c r="D247" s="13" t="inlineStr">
        <is>
          <t>Nuova</t>
        </is>
      </c>
      <c r="E247" s="13" t="inlineStr">
        <is>
          <t>Provost / CFO / Teacher</t>
        </is>
      </c>
      <c r="F247" s="13" t="inlineStr">
        <is>
          <t>T4 · qes_*</t>
        </is>
      </c>
    </row>
    <row r="248" ht="15" customHeight="1" s="10">
      <c r="A248" s="13" t="inlineStr">
        <is>
          <t>20. Faculty Lifecycle &amp; Contrattualizzazione</t>
        </is>
      </c>
      <c r="B248" s="13" t="inlineStr">
        <is>
          <t>Contrattualizzazione Authoring</t>
        </is>
      </c>
      <c r="C248" s="13" t="inlineStr">
        <is>
          <t>Archiviazione copia esecutiva come documento verificabile</t>
        </is>
      </c>
      <c r="D248" s="13" t="inlineStr">
        <is>
          <t>Nuova</t>
        </is>
      </c>
      <c r="E248" s="13" t="inlineStr">
        <is>
          <t>BackOffice</t>
        </is>
      </c>
      <c r="F248" s="13" t="inlineStr">
        <is>
          <t>T4 · BOOK-16</t>
        </is>
      </c>
    </row>
    <row r="249" ht="15" customHeight="1" s="10">
      <c r="A249" s="13" t="inlineStr">
        <is>
          <t>20. Faculty Lifecycle &amp; Contrattualizzazione</t>
        </is>
      </c>
      <c r="B249" s="13" t="inlineStr">
        <is>
          <t>Delivery &amp; Compensi</t>
        </is>
      </c>
      <c r="C249" s="13" t="inlineStr">
        <is>
          <t>Milestone contrattuali (30% design / 70% full course) e deliverable</t>
        </is>
      </c>
      <c r="D249" s="13" t="inlineStr">
        <is>
          <t>Nuova</t>
        </is>
      </c>
      <c r="E249" s="13" t="inlineStr">
        <is>
          <t>Teacher / CFO</t>
        </is>
      </c>
      <c r="F249" s="13" t="inlineStr">
        <is>
          <t>T4</t>
        </is>
      </c>
    </row>
    <row r="250" ht="23.25" customHeight="1" s="10">
      <c r="A250" s="13" t="inlineStr">
        <is>
          <t>20. Faculty Lifecycle &amp; Contrattualizzazione</t>
        </is>
      </c>
      <c r="B250" s="13" t="inlineStr">
        <is>
          <t>Delivery &amp; Compensi</t>
        </is>
      </c>
      <c r="C250" s="13" t="inlineStr">
        <is>
          <t>Gate di approvazione deliverable (design review, QA pubblicazione)</t>
        </is>
      </c>
      <c r="D250" s="13" t="inlineStr">
        <is>
          <t>Nuova</t>
        </is>
      </c>
      <c r="E250" s="13" t="inlineStr">
        <is>
          <t>Dean / Tech Admin</t>
        </is>
      </c>
      <c r="F250" s="13" t="inlineStr">
        <is>
          <t>T4</t>
        </is>
      </c>
    </row>
    <row r="251" ht="23.25" customHeight="1" s="10">
      <c r="A251" s="13" t="inlineStr">
        <is>
          <t>20. Faculty Lifecycle &amp; Contrattualizzazione</t>
        </is>
      </c>
      <c r="B251" s="13" t="inlineStr">
        <is>
          <t>Delivery &amp; Compensi</t>
        </is>
      </c>
      <c r="C251" s="13" t="inlineStr">
        <is>
          <t>Rilascio automatico fattura passiva ad approvazione milestone</t>
        </is>
      </c>
      <c r="D251" s="13" t="inlineStr">
        <is>
          <t>Nuova</t>
        </is>
      </c>
      <c r="E251" s="13" t="inlineStr">
        <is>
          <t>CFO / BackOffice</t>
        </is>
      </c>
      <c r="F251" s="13" t="inlineStr">
        <is>
          <t>T4/T7</t>
        </is>
      </c>
    </row>
    <row r="252" ht="23.25" customHeight="1" s="10">
      <c r="A252" s="13" t="inlineStr">
        <is>
          <t>21. Governance Accademica &amp; Policy</t>
        </is>
      </c>
      <c r="B252" s="13" t="inlineStr">
        <is>
          <t>Policy di Ateneo</t>
        </is>
      </c>
      <c r="C252" s="13" t="inlineStr">
        <is>
          <t>Authoring policy istituzionali (accademiche, ammissione, assessment, uso AI, finanziarie)</t>
        </is>
      </c>
      <c r="D252" s="13" t="inlineStr">
        <is>
          <t>Nuova</t>
        </is>
      </c>
      <c r="E252" s="13" t="inlineStr">
        <is>
          <t>Provost</t>
        </is>
      </c>
      <c r="F252" s="13" t="inlineStr">
        <is>
          <t>T6 · BOOK-24</t>
        </is>
      </c>
    </row>
    <row r="253" ht="23.25" customHeight="1" s="10">
      <c r="A253" s="13" t="inlineStr">
        <is>
          <t>21. Governance Accademica &amp; Policy</t>
        </is>
      </c>
      <c r="B253" s="13" t="inlineStr">
        <is>
          <t>Policy di Ateneo</t>
        </is>
      </c>
      <c r="C253" s="13" t="inlineStr">
        <is>
          <t>Versionamento policy per regulation-year e binding coorte (G7)</t>
        </is>
      </c>
      <c r="D253" s="13" t="inlineStr">
        <is>
          <t>Nuova</t>
        </is>
      </c>
      <c r="E253" s="13" t="inlineStr">
        <is>
          <t>Provost</t>
        </is>
      </c>
      <c r="F253" s="13" t="inlineStr">
        <is>
          <t>T6</t>
        </is>
      </c>
    </row>
    <row r="254" ht="23.25" customHeight="1" s="10">
      <c r="A254" s="13" t="inlineStr">
        <is>
          <t>21. Governance Accademica &amp; Policy</t>
        </is>
      </c>
      <c r="B254" s="13" t="inlineStr">
        <is>
          <t>Policy di Ateneo</t>
        </is>
      </c>
      <c r="C254" s="13" t="inlineStr">
        <is>
          <t>Approvazione e promulgazione (Provost / delibera board)</t>
        </is>
      </c>
      <c r="D254" s="13" t="inlineStr">
        <is>
          <t>Nuova</t>
        </is>
      </c>
      <c r="E254" s="13" t="inlineStr">
        <is>
          <t>Provost / Chairman</t>
        </is>
      </c>
      <c r="F254" s="13" t="inlineStr">
        <is>
          <t>T6/T10</t>
        </is>
      </c>
    </row>
    <row r="255" ht="23.25" customHeight="1" s="10">
      <c r="A255" s="13" t="inlineStr">
        <is>
          <t>21. Governance Accademica &amp; Policy</t>
        </is>
      </c>
      <c r="B255" s="13" t="inlineStr">
        <is>
          <t>Revisioni Programmi</t>
        </is>
      </c>
      <c r="C255" s="13" t="inlineStr">
        <is>
          <t>Program review periodica con rilievi qualità</t>
        </is>
      </c>
      <c r="D255" s="13" t="inlineStr">
        <is>
          <t>Nuova</t>
        </is>
      </c>
      <c r="E255" s="13" t="inlineStr">
        <is>
          <t>Dean</t>
        </is>
      </c>
      <c r="F255" s="13" t="inlineStr">
        <is>
          <t>T6</t>
        </is>
      </c>
    </row>
    <row r="256" ht="23.25" customHeight="1" s="10">
      <c r="A256" s="13" t="inlineStr">
        <is>
          <t>21. Governance Accademica &amp; Policy</t>
        </is>
      </c>
      <c r="B256" s="13" t="inlineStr">
        <is>
          <t>Revisioni Programmi</t>
        </is>
      </c>
      <c r="C256" s="13" t="inlineStr">
        <is>
          <t>Gestione teach-out con ratifica</t>
        </is>
      </c>
      <c r="D256" s="13" t="inlineStr">
        <is>
          <t>Nuova</t>
        </is>
      </c>
      <c r="E256" s="13" t="inlineStr">
        <is>
          <t>Provost / President</t>
        </is>
      </c>
      <c r="F256" s="13" t="inlineStr">
        <is>
          <t>T6/T10</t>
        </is>
      </c>
    </row>
    <row r="257" ht="23.25" customHeight="1" s="10">
      <c r="A257" s="13" t="inlineStr">
        <is>
          <t>22. Finanza &amp; Amministrazione Nativa</t>
        </is>
      </c>
      <c r="B257" s="13" t="inlineStr">
        <is>
          <t>Ciclo Attivo (Studenti)</t>
        </is>
      </c>
      <c r="C257" s="13" t="inlineStr">
        <is>
          <t>Fatture studente native: emissione, righe, scadenze</t>
        </is>
      </c>
      <c r="D257" s="13" t="inlineStr">
        <is>
          <t>Nuova</t>
        </is>
      </c>
      <c r="E257" s="13" t="inlineStr">
        <is>
          <t>BackOffice / CFO</t>
        </is>
      </c>
      <c r="F257" s="13" t="inlineStr">
        <is>
          <t>T7 · BOOK-23</t>
        </is>
      </c>
    </row>
    <row r="258" ht="23.25" customHeight="1" s="10">
      <c r="A258" s="15" t="inlineStr">
        <is>
          <t>22. Finanza &amp; Amministrazione Nativa</t>
        </is>
      </c>
      <c r="B258" s="15" t="inlineStr">
        <is>
          <t>Ciclo Attivo (Studenti)</t>
        </is>
      </c>
      <c r="C258" s="15" t="inlineStr">
        <is>
          <t>Riconciliazione pagamenti PagoPA / ERP</t>
        </is>
      </c>
      <c r="D258" s="15" t="inlineStr">
        <is>
          <t>Estensione</t>
        </is>
      </c>
      <c r="E258" s="15" t="inlineStr">
        <is>
          <t>BackOffice</t>
        </is>
      </c>
      <c r="F258" s="15" t="inlineStr">
        <is>
          <t>T7 · pagopa_*</t>
        </is>
      </c>
    </row>
    <row r="259" ht="23.25" customHeight="1" s="10">
      <c r="A259" s="15" t="inlineStr">
        <is>
          <t>22. Finanza &amp; Amministrazione Nativa</t>
        </is>
      </c>
      <c r="B259" s="15" t="inlineStr">
        <is>
          <t>Ciclo Attivo (Studenti)</t>
        </is>
      </c>
      <c r="C259" s="15" t="inlineStr">
        <is>
          <t>Blocchi amministrativi per morosità con effetto su carriera</t>
        </is>
      </c>
      <c r="D259" s="15" t="inlineStr">
        <is>
          <t>Estensione</t>
        </is>
      </c>
      <c r="E259" s="15" t="inlineStr">
        <is>
          <t>BackOffice</t>
        </is>
      </c>
      <c r="F259" s="15" t="inlineStr">
        <is>
          <t>T7</t>
        </is>
      </c>
    </row>
    <row r="260" ht="15" customHeight="1" s="10">
      <c r="A260" s="13" t="inlineStr">
        <is>
          <t>22. Finanza &amp; Amministrazione Nativa</t>
        </is>
      </c>
      <c r="B260" s="13" t="inlineStr">
        <is>
          <t>Ciclo Passivo (Docenti/Fornitori)</t>
        </is>
      </c>
      <c r="C260" s="13" t="inlineStr">
        <is>
          <t>Fatture passive da milestone authoring</t>
        </is>
      </c>
      <c r="D260" s="13" t="inlineStr">
        <is>
          <t>Nuova</t>
        </is>
      </c>
      <c r="E260" s="13" t="inlineStr">
        <is>
          <t>CFO</t>
        </is>
      </c>
      <c r="F260" s="13" t="inlineStr">
        <is>
          <t>T7/T4</t>
        </is>
      </c>
    </row>
    <row r="261" ht="15" customHeight="1" s="10">
      <c r="A261" s="13" t="inlineStr">
        <is>
          <t>22. Finanza &amp; Amministrazione Nativa</t>
        </is>
      </c>
      <c r="B261" s="13" t="inlineStr">
        <is>
          <t>Ciclo Passivo (Docenti/Fornitori)</t>
        </is>
      </c>
      <c r="C261" s="13" t="inlineStr">
        <is>
          <t>Payment run con approvazione CFO</t>
        </is>
      </c>
      <c r="D261" s="13" t="inlineStr">
        <is>
          <t>Nuova</t>
        </is>
      </c>
      <c r="E261" s="13" t="inlineStr">
        <is>
          <t>CFO</t>
        </is>
      </c>
      <c r="F261" s="13" t="inlineStr">
        <is>
          <t>T7</t>
        </is>
      </c>
    </row>
    <row r="262" ht="15" customHeight="1" s="10">
      <c r="A262" s="13" t="inlineStr">
        <is>
          <t>22. Finanza &amp; Amministrazione Nativa</t>
        </is>
      </c>
      <c r="B262" s="13" t="inlineStr">
        <is>
          <t>Budget</t>
        </is>
      </c>
      <c r="C262" s="13" t="inlineStr">
        <is>
          <t>Budget annuale e voci per dipartimento/programma</t>
        </is>
      </c>
      <c r="D262" s="13" t="inlineStr">
        <is>
          <t>Nuova</t>
        </is>
      </c>
      <c r="E262" s="13" t="inlineStr">
        <is>
          <t>CFO</t>
        </is>
      </c>
      <c r="F262" s="13" t="inlineStr">
        <is>
          <t>T7</t>
        </is>
      </c>
    </row>
    <row r="263" ht="15" customHeight="1" s="10">
      <c r="A263" s="13" t="inlineStr">
        <is>
          <t>22. Finanza &amp; Amministrazione Nativa</t>
        </is>
      </c>
      <c r="B263" s="13" t="inlineStr">
        <is>
          <t>Budget</t>
        </is>
      </c>
      <c r="C263" s="13" t="inlineStr">
        <is>
          <t>Budget vs actual con imputazione automatica</t>
        </is>
      </c>
      <c r="D263" s="13" t="inlineStr">
        <is>
          <t>Nuova</t>
        </is>
      </c>
      <c r="E263" s="13" t="inlineStr">
        <is>
          <t>CFO</t>
        </is>
      </c>
      <c r="F263" s="13" t="inlineStr">
        <is>
          <t>T7/T10</t>
        </is>
      </c>
    </row>
    <row r="264" ht="23.85" customHeight="1" s="10">
      <c r="A264" s="13" t="inlineStr">
        <is>
          <t>22. Finanza &amp; Amministrazione Nativa</t>
        </is>
      </c>
      <c r="B264" s="13" t="inlineStr">
        <is>
          <t>Fascicolo Studente</t>
        </is>
      </c>
      <c r="C264" s="13" t="inlineStr">
        <is>
          <t>Fascicolo amministrativo unico per studente</t>
        </is>
      </c>
      <c r="D264" s="13" t="inlineStr">
        <is>
          <t>Nuova</t>
        </is>
      </c>
      <c r="E264" s="13" t="inlineStr">
        <is>
          <t>BackOffice</t>
        </is>
      </c>
      <c r="F264" s="13" t="inlineStr">
        <is>
          <t>T8 · BOOK-23</t>
        </is>
      </c>
    </row>
    <row r="265" ht="23.85" customHeight="1" s="10">
      <c r="A265" s="13" t="inlineStr">
        <is>
          <t>22. Finanza &amp; Amministrazione Nativa</t>
        </is>
      </c>
      <c r="B265" s="13" t="inlineStr">
        <is>
          <t>Fascicolo Studente</t>
        </is>
      </c>
      <c r="C265" s="13" t="inlineStr">
        <is>
          <t>Checklist immatricolazione e documenti</t>
        </is>
      </c>
      <c r="D265" s="13" t="inlineStr">
        <is>
          <t>Nuova</t>
        </is>
      </c>
      <c r="E265" s="13" t="inlineStr">
        <is>
          <t>BackOffice</t>
        </is>
      </c>
      <c r="F265" s="13" t="inlineStr">
        <is>
          <t>T8</t>
        </is>
      </c>
    </row>
    <row r="266" ht="23.85" customHeight="1" s="10">
      <c r="A266" s="14" t="inlineStr">
        <is>
          <t>22. Finanza &amp; Amministrazione Nativa</t>
        </is>
      </c>
      <c r="B266" s="14" t="inlineStr">
        <is>
          <t>Pianificazione &amp; Controllo (CFO)</t>
        </is>
      </c>
      <c r="C266" s="14" t="inlineStr">
        <is>
          <t>Listini e fee schedule per programma/coorte (versionati)</t>
        </is>
      </c>
      <c r="D266" s="14" t="inlineStr">
        <is>
          <t>Nuova</t>
        </is>
      </c>
      <c r="E266" s="14" t="inlineStr">
        <is>
          <t>CFO</t>
        </is>
      </c>
      <c r="F266" s="14" t="inlineStr">
        <is>
          <t>T7+ · NEW-30</t>
        </is>
      </c>
    </row>
    <row r="267" ht="23.85" customHeight="1" s="10">
      <c r="A267" s="14" t="inlineStr">
        <is>
          <t>22. Finanza &amp; Amministrazione Nativa</t>
        </is>
      </c>
      <c r="B267" s="14" t="inlineStr">
        <is>
          <t>Pianificazione &amp; Controllo (CFO)</t>
        </is>
      </c>
      <c r="C267" s="14" t="inlineStr">
        <is>
          <t>Revenue forecast guidato dal funnel (pipeline ammissioni → ricavi attesi)</t>
        </is>
      </c>
      <c r="D267" s="14" t="inlineStr">
        <is>
          <t>Nuova</t>
        </is>
      </c>
      <c r="E267" s="14" t="inlineStr">
        <is>
          <t>CFO</t>
        </is>
      </c>
      <c r="F267" s="14" t="inlineStr">
        <is>
          <t>T7+ · NEW-30</t>
        </is>
      </c>
    </row>
    <row r="268" ht="23.85" customHeight="1" s="10">
      <c r="A268" s="14" t="inlineStr">
        <is>
          <t>22. Finanza &amp; Amministrazione Nativa</t>
        </is>
      </c>
      <c r="B268" s="14" t="inlineStr">
        <is>
          <t>Pianificazione &amp; Controllo (CFO)</t>
        </is>
      </c>
      <c r="C268" s="14" t="inlineStr">
        <is>
          <t>Proiezione cash flow (AR/AP/commitments)</t>
        </is>
      </c>
      <c r="D268" s="14" t="inlineStr">
        <is>
          <t>Nuova</t>
        </is>
      </c>
      <c r="E268" s="14" t="inlineStr">
        <is>
          <t>CFO</t>
        </is>
      </c>
      <c r="F268" s="14" t="inlineStr">
        <is>
          <t>T7+ · NEW-30</t>
        </is>
      </c>
    </row>
    <row r="269" ht="23.85" customHeight="1" s="10">
      <c r="A269" s="14" t="inlineStr">
        <is>
          <t>22. Finanza &amp; Amministrazione Nativa</t>
        </is>
      </c>
      <c r="B269" s="14" t="inlineStr">
        <is>
          <t>Pianificazione &amp; Controllo (CFO)</t>
        </is>
      </c>
      <c r="C269" s="14" t="inlineStr">
        <is>
          <t>Scenari finanziari what-if (iscritti, pricing, costi authoring)</t>
        </is>
      </c>
      <c r="D269" s="14" t="inlineStr">
        <is>
          <t>Nuova</t>
        </is>
      </c>
      <c r="E269" s="14" t="inlineStr">
        <is>
          <t>CFO</t>
        </is>
      </c>
      <c r="F269" s="14" t="inlineStr">
        <is>
          <t>T7+ · NEW-30</t>
        </is>
      </c>
    </row>
    <row r="270" ht="23.85" customHeight="1" s="10">
      <c r="A270" s="14" t="inlineStr">
        <is>
          <t>22. Finanza &amp; Amministrazione Nativa</t>
        </is>
      </c>
      <c r="B270" s="14" t="inlineStr">
        <is>
          <t>Pianificazione &amp; Controllo (CFO)</t>
        </is>
      </c>
      <c r="C270" s="14" t="inlineStr">
        <is>
          <t>Chiusura di periodo e variance analysis con azioni</t>
        </is>
      </c>
      <c r="D270" s="14" t="inlineStr">
        <is>
          <t>Nuova</t>
        </is>
      </c>
      <c r="E270" s="14" t="inlineStr">
        <is>
          <t>CFO</t>
        </is>
      </c>
      <c r="F270" s="14" t="inlineStr">
        <is>
          <t>T7+ · NEW-30</t>
        </is>
      </c>
    </row>
    <row r="271" ht="23.85" customHeight="1" s="10">
      <c r="A271" s="13" t="inlineStr">
        <is>
          <t>23. HR &amp; Organico</t>
        </is>
      </c>
      <c r="B271" s="13" t="inlineStr">
        <is>
          <t>Organico</t>
        </is>
      </c>
      <c r="C271" s="13" t="inlineStr">
        <is>
          <t>Posizioni (faculty, staff, adjunct) e stato copertura</t>
        </is>
      </c>
      <c r="D271" s="13" t="inlineStr">
        <is>
          <t>Nuova</t>
        </is>
      </c>
      <c r="E271" s="13" t="inlineStr">
        <is>
          <t>HR Lead</t>
        </is>
      </c>
      <c r="F271" s="13" t="inlineStr">
        <is>
          <t>T9 · BOOK-22</t>
        </is>
      </c>
    </row>
    <row r="272" ht="23.85" customHeight="1" s="10">
      <c r="A272" s="13" t="inlineStr">
        <is>
          <t>23. HR &amp; Organico</t>
        </is>
      </c>
      <c r="B272" s="13" t="inlineStr">
        <is>
          <t>Organico</t>
        </is>
      </c>
      <c r="C272" s="13" t="inlineStr">
        <is>
          <t>Contratti HR (FTE, decorrenza, scadenza)</t>
        </is>
      </c>
      <c r="D272" s="13" t="inlineStr">
        <is>
          <t>Nuova</t>
        </is>
      </c>
      <c r="E272" s="13" t="inlineStr">
        <is>
          <t>HR Lead</t>
        </is>
      </c>
      <c r="F272" s="13" t="inlineStr">
        <is>
          <t>T9</t>
        </is>
      </c>
    </row>
    <row r="273" ht="23.85" customHeight="1" s="10">
      <c r="A273" s="13" t="inlineStr">
        <is>
          <t>23. HR &amp; Organico</t>
        </is>
      </c>
      <c r="B273" s="13" t="inlineStr">
        <is>
          <t>Workload</t>
        </is>
      </c>
      <c r="C273" s="13" t="inlineStr">
        <is>
          <t>Ledger carico di lavoro (docenza, tutoring, tesi, commissioni, authoring)</t>
        </is>
      </c>
      <c r="D273" s="13" t="inlineStr">
        <is>
          <t>Nuova</t>
        </is>
      </c>
      <c r="E273" s="13" t="inlineStr">
        <is>
          <t>HR Lead</t>
        </is>
      </c>
      <c r="F273" s="13" t="inlineStr">
        <is>
          <t>T9</t>
        </is>
      </c>
    </row>
    <row r="274">
      <c r="A274" s="13" t="inlineStr">
        <is>
          <t>23. HR &amp; Organico</t>
        </is>
      </c>
      <c r="B274" s="13" t="inlineStr">
        <is>
          <t>Workload</t>
        </is>
      </c>
      <c r="C274" s="13" t="inlineStr">
        <is>
          <t>Misura del mentorship dividend (tempo AI → tutoring umano)</t>
        </is>
      </c>
      <c r="D274" s="13" t="inlineStr">
        <is>
          <t>Nuova</t>
        </is>
      </c>
      <c r="E274" s="13" t="inlineStr">
        <is>
          <t>HR Lead / Provost</t>
        </is>
      </c>
      <c r="F274" s="13" t="inlineStr">
        <is>
          <t>T9 · BOOK-07</t>
        </is>
      </c>
    </row>
    <row r="275">
      <c r="A275" s="13" t="inlineStr">
        <is>
          <t>24. Executive Command &amp; Corporate Governance</t>
        </is>
      </c>
      <c r="B275" s="13" t="inlineStr">
        <is>
          <t>KPI &amp; Alert</t>
        </is>
      </c>
      <c r="C275" s="13" t="inlineStr">
        <is>
          <t>Catalogo KPI multi-dominio (accademici, finanza, marketing, HR, AI)</t>
        </is>
      </c>
      <c r="D275" s="13" t="inlineStr">
        <is>
          <t>Nuova</t>
        </is>
      </c>
      <c r="E275" s="13" t="inlineStr">
        <is>
          <t>Management</t>
        </is>
      </c>
      <c r="F275" s="13" t="inlineStr">
        <is>
          <t>T10 · BOOK-24</t>
        </is>
      </c>
    </row>
    <row r="276">
      <c r="A276" s="13" t="inlineStr">
        <is>
          <t>24. Executive Command &amp; Corporate Governance</t>
        </is>
      </c>
      <c r="B276" s="13" t="inlineStr">
        <is>
          <t>KPI &amp; Alert</t>
        </is>
      </c>
      <c r="C276" s="13" t="inlineStr">
        <is>
          <t>Target, soglie e snapshot storicizzati</t>
        </is>
      </c>
      <c r="D276" s="13" t="inlineStr">
        <is>
          <t>Nuova</t>
        </is>
      </c>
      <c r="E276" s="13" t="inlineStr">
        <is>
          <t>Management</t>
        </is>
      </c>
      <c r="F276" s="13" t="inlineStr">
        <is>
          <t>T10</t>
        </is>
      </c>
    </row>
    <row r="277">
      <c r="A277" s="13" t="inlineStr">
        <is>
          <t>24. Executive Command &amp; Corporate Governance</t>
        </is>
      </c>
      <c r="B277" s="13" t="inlineStr">
        <is>
          <t>KPI &amp; Alert</t>
        </is>
      </c>
      <c r="C277" s="13" t="inlineStr">
        <is>
          <t>Alert executive su breach soglia con presa in carico</t>
        </is>
      </c>
      <c r="D277" s="13" t="inlineStr">
        <is>
          <t>Nuova</t>
        </is>
      </c>
      <c r="E277" s="13" t="inlineStr">
        <is>
          <t>Management</t>
        </is>
      </c>
      <c r="F277" s="13" t="inlineStr">
        <is>
          <t>T10</t>
        </is>
      </c>
    </row>
    <row r="278">
      <c r="A278" s="13" t="inlineStr">
        <is>
          <t>24. Executive Command &amp; Corporate Governance</t>
        </is>
      </c>
      <c r="B278" s="13" t="inlineStr">
        <is>
          <t>Dashboard di Ruolo</t>
        </is>
      </c>
      <c r="C278" s="13" t="inlineStr">
        <is>
          <t>Dashboard President (scorecard, tre economie)</t>
        </is>
      </c>
      <c r="D278" s="13" t="inlineStr">
        <is>
          <t>Nuova</t>
        </is>
      </c>
      <c r="E278" s="13" t="inlineStr">
        <is>
          <t>President</t>
        </is>
      </c>
      <c r="F278" s="13" t="inlineStr">
        <is>
          <t>T10 · IW1 est.</t>
        </is>
      </c>
    </row>
    <row r="279">
      <c r="A279" s="13" t="inlineStr">
        <is>
          <t>24. Executive Command &amp; Corporate Governance</t>
        </is>
      </c>
      <c r="B279" s="13" t="inlineStr">
        <is>
          <t>Dashboard di Ruolo</t>
        </is>
      </c>
      <c r="C279" s="13" t="inlineStr">
        <is>
          <t>Dashboard Chairman (board pack, delibere, rischi)</t>
        </is>
      </c>
      <c r="D279" s="13" t="inlineStr">
        <is>
          <t>Nuova</t>
        </is>
      </c>
      <c r="E279" s="13" t="inlineStr">
        <is>
          <t>Chairman</t>
        </is>
      </c>
      <c r="F279" s="13" t="inlineStr">
        <is>
          <t>T10</t>
        </is>
      </c>
    </row>
    <row r="280">
      <c r="A280" s="13" t="inlineStr">
        <is>
          <t>24. Executive Command &amp; Corporate Governance</t>
        </is>
      </c>
      <c r="B280" s="13" t="inlineStr">
        <is>
          <t>Dashboard di Ruolo</t>
        </is>
      </c>
      <c r="C280" s="13" t="inlineStr">
        <is>
          <t>Dashboard Provost (salute accademica, approvazioni pendenti)</t>
        </is>
      </c>
      <c r="D280" s="13" t="inlineStr">
        <is>
          <t>Nuova</t>
        </is>
      </c>
      <c r="E280" s="13" t="inlineStr">
        <is>
          <t>Provost</t>
        </is>
      </c>
      <c r="F280" s="13" t="inlineStr">
        <is>
          <t>T10</t>
        </is>
      </c>
    </row>
    <row r="281">
      <c r="A281" s="13" t="inlineStr">
        <is>
          <t>24. Executive Command &amp; Corporate Governance</t>
        </is>
      </c>
      <c r="B281" s="13" t="inlineStr">
        <is>
          <t>Dashboard di Ruolo</t>
        </is>
      </c>
      <c r="C281" s="13" t="inlineStr">
        <is>
          <t>Dashboard CFO (AR/AP, cash, budget vs actual)</t>
        </is>
      </c>
      <c r="D281" s="13" t="inlineStr">
        <is>
          <t>Nuova</t>
        </is>
      </c>
      <c r="E281" s="13" t="inlineStr">
        <is>
          <t>CFO</t>
        </is>
      </c>
      <c r="F281" s="13" t="inlineStr">
        <is>
          <t>T10/T7</t>
        </is>
      </c>
    </row>
    <row r="282">
      <c r="A282" s="13" t="inlineStr">
        <is>
          <t>24. Executive Command &amp; Corporate Governance</t>
        </is>
      </c>
      <c r="B282" s="13" t="inlineStr">
        <is>
          <t>Organi Collegiali</t>
        </is>
      </c>
      <c r="C282" s="13" t="inlineStr">
        <is>
          <t>Sedute di board/senato con ordine del giorno</t>
        </is>
      </c>
      <c r="D282" s="13" t="inlineStr">
        <is>
          <t>Nuova</t>
        </is>
      </c>
      <c r="E282" s="13" t="inlineStr">
        <is>
          <t>Chairman</t>
        </is>
      </c>
      <c r="F282" s="13" t="inlineStr">
        <is>
          <t>T10</t>
        </is>
      </c>
    </row>
    <row r="283">
      <c r="A283" s="13" t="inlineStr">
        <is>
          <t>24. Executive Command &amp; Corporate Governance</t>
        </is>
      </c>
      <c r="B283" s="13" t="inlineStr">
        <is>
          <t>Organi Collegiali</t>
        </is>
      </c>
      <c r="C283" s="13" t="inlineStr">
        <is>
          <t>Delibere (promulgazione policy, ratifica catalogo, teach-out)</t>
        </is>
      </c>
      <c r="D283" s="13" t="inlineStr">
        <is>
          <t>Nuova</t>
        </is>
      </c>
      <c r="E283" s="13" t="inlineStr">
        <is>
          <t>Chairman / Provost</t>
        </is>
      </c>
      <c r="F283" s="13" t="inlineStr">
        <is>
          <t>T10/T6</t>
        </is>
      </c>
    </row>
    <row r="284">
      <c r="A284" s="13" t="inlineStr">
        <is>
          <t>24. Executive Command &amp; Corporate Governance</t>
        </is>
      </c>
      <c r="B284" s="13" t="inlineStr">
        <is>
          <t>Organi Collegiali</t>
        </is>
      </c>
      <c r="C284" s="13" t="inlineStr">
        <is>
          <t>Azioni di governo tracciate (ratify, freeze, escalate)</t>
        </is>
      </c>
      <c r="D284" s="13" t="inlineStr">
        <is>
          <t>Nuova</t>
        </is>
      </c>
      <c r="E284" s="13" t="inlineStr">
        <is>
          <t>Management</t>
        </is>
      </c>
      <c r="F284" s="13" t="inlineStr">
        <is>
          <t>T10</t>
        </is>
      </c>
    </row>
    <row r="285">
      <c r="A285" s="14" t="inlineStr">
        <is>
          <t>25. Ricerca &amp; Open Science</t>
        </is>
      </c>
      <c r="B285" s="14" t="inlineStr">
        <is>
          <t>Workspace di Ricerca</t>
        </is>
      </c>
      <c r="C285" s="14" t="inlineStr">
        <is>
          <t>Progetti di ricerca: anagrafica, team, partner, collegamento grant</t>
        </is>
      </c>
      <c r="D285" s="14" t="inlineStr">
        <is>
          <t>Nuova</t>
        </is>
      </c>
      <c r="E285" s="14" t="inlineStr">
        <is>
          <t>Researcher</t>
        </is>
      </c>
      <c r="F285" s="14" t="inlineStr">
        <is>
          <t>T13 · BOOK-25 · NEW-33</t>
        </is>
      </c>
    </row>
    <row r="286">
      <c r="A286" s="14" t="inlineStr">
        <is>
          <t>25. Ricerca &amp; Open Science</t>
        </is>
      </c>
      <c r="B286" s="14" t="inlineStr">
        <is>
          <t>Workspace di Ricerca</t>
        </is>
      </c>
      <c r="C286" s="14" t="inlineStr">
        <is>
          <t>Ambienti riproducibili (notebook/IDE con contesto di esecuzione registrato — modello Renku)</t>
        </is>
      </c>
      <c r="D286" s="14" t="inlineStr">
        <is>
          <t>Nuova</t>
        </is>
      </c>
      <c r="E286" s="14" t="inlineStr">
        <is>
          <t>Researcher</t>
        </is>
      </c>
      <c r="F286" s="14" t="inlineStr">
        <is>
          <t>T13 · NEW-33</t>
        </is>
      </c>
    </row>
    <row r="287">
      <c r="A287" s="14" t="inlineStr">
        <is>
          <t>25. Ricerca &amp; Open Science</t>
        </is>
      </c>
      <c r="B287" s="14" t="inlineStr">
        <is>
          <t>Workspace di Ricerca</t>
        </is>
      </c>
      <c r="C287" s="14" t="inlineStr">
        <is>
          <t>Provenance automatica dei risultati (DAG codice+dati+container, principi FAIR)</t>
        </is>
      </c>
      <c r="D287" s="14" t="inlineStr">
        <is>
          <t>Nuova</t>
        </is>
      </c>
      <c r="E287" s="14" t="inlineStr">
        <is>
          <t>Researcher</t>
        </is>
      </c>
      <c r="F287" s="14" t="inlineStr">
        <is>
          <t>T13 · NEW-33</t>
        </is>
      </c>
    </row>
    <row r="288">
      <c r="A288" s="14" t="inlineStr">
        <is>
          <t>25. Ricerca &amp; Open Science</t>
        </is>
      </c>
      <c r="B288" s="14" t="inlineStr">
        <is>
          <t>Workspace di Ricerca</t>
        </is>
      </c>
      <c r="C288" s="14" t="inlineStr">
        <is>
          <t>Registry dataset con versioning, licenze e consensi</t>
        </is>
      </c>
      <c r="D288" s="14" t="inlineStr">
        <is>
          <t>Nuova</t>
        </is>
      </c>
      <c r="E288" s="14" t="inlineStr">
        <is>
          <t>Researcher</t>
        </is>
      </c>
      <c r="F288" s="14" t="inlineStr">
        <is>
          <t>T13 · NEW-33</t>
        </is>
      </c>
    </row>
    <row r="289">
      <c r="A289" s="14" t="inlineStr">
        <is>
          <t>25. Ricerca &amp; Open Science</t>
        </is>
      </c>
      <c r="B289" s="14" t="inlineStr">
        <is>
          <t>Conoscenza &amp; Federated RAG</t>
        </is>
      </c>
      <c r="C289" s="14" t="inlineStr">
        <is>
          <t>Research knowledge base interna (RAG su tesi, pubblicazioni, brevetti)</t>
        </is>
      </c>
      <c r="D289" s="14" t="inlineStr">
        <is>
          <t>Nuova</t>
        </is>
      </c>
      <c r="E289" s="14" t="inlineStr">
        <is>
          <t>Researcher</t>
        </is>
      </c>
      <c r="F289" s="14" t="inlineStr">
        <is>
          <t>T13 · riusa RAG · NEW-33</t>
        </is>
      </c>
    </row>
    <row r="290">
      <c r="A290" s="14" t="inlineStr">
        <is>
          <t>25. Ricerca &amp; Open Science</t>
        </is>
      </c>
      <c r="B290" s="14" t="inlineStr">
        <is>
          <t>Conoscenza &amp; Federated RAG</t>
        </is>
      </c>
      <c r="C290" s="14" t="inlineStr">
        <is>
          <t>Federated RAG inter-ateneo a fiducia zero (query senza trasferimento dei dati grezzi)</t>
        </is>
      </c>
      <c r="D290" s="14" t="inlineStr">
        <is>
          <t>Nuova</t>
        </is>
      </c>
      <c r="E290" s="14" t="inlineStr">
        <is>
          <t>Researcher / System Admin</t>
        </is>
      </c>
      <c r="F290" s="14" t="inlineStr">
        <is>
          <t>T13 · federation · NEW-33</t>
        </is>
      </c>
    </row>
    <row r="291">
      <c r="A291" s="14" t="inlineStr">
        <is>
          <t>25. Ricerca &amp; Open Science</t>
        </is>
      </c>
      <c r="B291" s="14" t="inlineStr">
        <is>
          <t>Conoscenza &amp; Federated RAG</t>
        </is>
      </c>
      <c r="C291" s="14" t="inlineStr">
        <is>
          <t>Assistente di ricerca AI: literature review, estrazione strutturata, citazioni verificabili (propose-only)</t>
        </is>
      </c>
      <c r="D291" s="14" t="inlineStr">
        <is>
          <t>Nuova</t>
        </is>
      </c>
      <c r="E291" s="14" t="inlineStr">
        <is>
          <t>Researcher / Admin AI Eng</t>
        </is>
      </c>
      <c r="F291" s="14" t="inlineStr">
        <is>
          <t>T13 · BOOK-10A+ · NEW-33</t>
        </is>
      </c>
    </row>
    <row r="292">
      <c r="A292" s="14" t="inlineStr">
        <is>
          <t>25. Ricerca &amp; Open Science</t>
        </is>
      </c>
      <c r="B292" s="14" t="inlineStr">
        <is>
          <t>Grant &amp; Output</t>
        </is>
      </c>
      <c r="C292" s="14" t="inlineStr">
        <is>
          <t>Gestione grant: call, submission, budget di progetto (aggancio T7 budget e KPI T10)</t>
        </is>
      </c>
      <c r="D292" s="14" t="inlineStr">
        <is>
          <t>Nuova</t>
        </is>
      </c>
      <c r="E292" s="14" t="inlineStr">
        <is>
          <t>Researcher / CFO</t>
        </is>
      </c>
      <c r="F292" s="14" t="inlineStr">
        <is>
          <t>T13/T7 · NEW-33</t>
        </is>
      </c>
    </row>
    <row r="293">
      <c r="A293" s="14" t="inlineStr">
        <is>
          <t>25. Ricerca &amp; Open Science</t>
        </is>
      </c>
      <c r="B293" s="14" t="inlineStr">
        <is>
          <t>Grant &amp; Output</t>
        </is>
      </c>
      <c r="C293" s="14" t="inlineStr">
        <is>
          <t>Registro output di ricerca (pubblicazioni, dataset con DOI, software) collegato a profilo e workload</t>
        </is>
      </c>
      <c r="D293" s="14" t="inlineStr">
        <is>
          <t>Nuova</t>
        </is>
      </c>
      <c r="E293" s="14" t="inlineStr">
        <is>
          <t>Researcher / HR Lead</t>
        </is>
      </c>
      <c r="F293" s="14" t="inlineStr">
        <is>
          <t>T13/T9 · NEW-33</t>
        </is>
      </c>
    </row>
    <row r="294">
      <c r="A294" s="14" t="inlineStr">
        <is>
          <t>25. Ricerca &amp; Open Science</t>
        </is>
      </c>
      <c r="B294" s="14" t="inlineStr">
        <is>
          <t>Grant &amp; Output</t>
        </is>
      </c>
      <c r="C294" s="14" t="inlineStr">
        <is>
          <t>Compliance di ricerca: DPIA/FRIA di progetto, policy uso responsabile GenAI</t>
        </is>
      </c>
      <c r="D294" s="14" t="inlineStr">
        <is>
          <t>Nuova</t>
        </is>
      </c>
      <c r="E294" s="14" t="inlineStr">
        <is>
          <t>Researcher / Provost</t>
        </is>
      </c>
      <c r="F294" s="14" t="inlineStr">
        <is>
          <t>T13/T6 · NEW-33</t>
        </is>
      </c>
    </row>
    <row r="295">
      <c r="A295" s="14" t="inlineStr">
        <is>
          <t>25. Ricerca &amp; Open Science</t>
        </is>
      </c>
      <c r="B295" s="14" t="inlineStr">
        <is>
          <t>Collaborazione &amp; Compute</t>
        </is>
      </c>
      <c r="C295" s="14" t="inlineStr">
        <is>
          <t>Spazi di collaborazione inter-istituzione (consorzi; riusa federazione e community)</t>
        </is>
      </c>
      <c r="D295" s="14" t="inlineStr">
        <is>
          <t>Nuova</t>
        </is>
      </c>
      <c r="E295" s="14" t="inlineStr">
        <is>
          <t>Researcher</t>
        </is>
      </c>
      <c r="F295" s="14" t="inlineStr">
        <is>
          <t>T13 · NEW-33</t>
        </is>
      </c>
    </row>
    <row r="296">
      <c r="A296" s="14" t="inlineStr">
        <is>
          <t>25. Ricerca &amp; Open Science</t>
        </is>
      </c>
      <c r="B296" s="14" t="inlineStr">
        <is>
          <t>Collaborazione &amp; Compute</t>
        </is>
      </c>
      <c r="C296" s="14" t="inlineStr">
        <is>
          <t>Compute broker verso HPC/AI Factory esterne (code, quote, attribuzione costi)</t>
        </is>
      </c>
      <c r="D296" s="14" t="inlineStr">
        <is>
          <t>Nuova</t>
        </is>
      </c>
      <c r="E296" s="14" t="inlineStr">
        <is>
          <t>Researcher / Admin AI Eng</t>
        </is>
      </c>
      <c r="F296" s="14" t="inlineStr">
        <is>
          <t>T13 · NEW-33</t>
        </is>
      </c>
    </row>
    <row r="297">
      <c r="A297" t="inlineStr">
        <is>
          <t>26. Accreditamento &amp; Assicurazione Qualità (DM 1154/2021)</t>
        </is>
      </c>
      <c r="B297" t="inlineStr">
        <is>
          <t>Requisiti Docenza (Allegati A &amp; D)</t>
        </is>
      </c>
      <c r="C297" t="inlineStr">
        <is>
          <t>Calcolo automatico Dtot/Ttot (docenti di riferimento richiesti vs disponibili, scalati per numerosità studenti)</t>
        </is>
      </c>
      <c r="D297" t="inlineStr">
        <is>
          <t>Nuova</t>
        </is>
      </c>
      <c r="E297" t="inlineStr">
        <is>
          <t>Coordinatore CdS / PQA</t>
        </is>
      </c>
      <c r="F297" t="inlineStr">
        <is>
          <t>T14 · AVA-03</t>
        </is>
      </c>
    </row>
    <row r="298">
      <c r="A298" t="inlineStr">
        <is>
          <t>26. Accreditamento &amp; Assicurazione Qualità (DM 1154/2021)</t>
        </is>
      </c>
      <c r="B298" t="inlineStr">
        <is>
          <t>Requisiti Docenza (Allegati A &amp; D)</t>
        </is>
      </c>
      <c r="C298" t="inlineStr">
        <is>
          <t>Rule pack Allegato A (minimi per tipo corso/modalità) e numerosità Allegato D, versionati e governati</t>
        </is>
      </c>
      <c r="D298" t="inlineStr">
        <is>
          <t>Nuova</t>
        </is>
      </c>
      <c r="E298" t="inlineStr">
        <is>
          <t>PQA</t>
        </is>
      </c>
      <c r="F298" t="inlineStr">
        <is>
          <t>T14 · AVA-02</t>
        </is>
      </c>
    </row>
    <row r="299">
      <c r="A299" t="inlineStr">
        <is>
          <t>26. Accreditamento &amp; Assicurazione Qualità (DM 1154/2021)</t>
        </is>
      </c>
      <c r="B299" t="inlineStr">
        <is>
          <t>Registro Accreditamento (Art. 3-4)</t>
        </is>
      </c>
      <c r="C299" t="inlineStr">
        <is>
          <t>Registro accreditamento sedi/corsi: stato, esito, scadenza, durata concessa</t>
        </is>
      </c>
      <c r="D299" t="inlineStr">
        <is>
          <t>Nuova</t>
        </is>
      </c>
      <c r="E299" t="inlineStr">
        <is>
          <t>PQA / Direzione</t>
        </is>
      </c>
      <c r="F299" t="inlineStr">
        <is>
          <t>T14 · AVA-01/04</t>
        </is>
      </c>
    </row>
    <row r="300">
      <c r="A300" t="inlineStr">
        <is>
          <t>26. Accreditamento &amp; Assicurazione Qualità (DM 1154/2021)</t>
        </is>
      </c>
      <c r="B300" t="inlineStr">
        <is>
          <t>Registro Accreditamento (Art. 3-4)</t>
        </is>
      </c>
      <c r="C300" t="inlineStr">
        <is>
          <t>Calcolo esito Art. 3 dalla distribuzione dei giudizi (pienamente soddisfacente/soddisfacente/condizionato/non soddisfacente)</t>
        </is>
      </c>
      <c r="D300" t="inlineStr">
        <is>
          <t>Nuova</t>
        </is>
      </c>
      <c r="E300" t="inlineStr">
        <is>
          <t>CEV / PQA</t>
        </is>
      </c>
      <c r="F300" t="inlineStr">
        <is>
          <t>T14 · AVA-04/12</t>
        </is>
      </c>
    </row>
    <row r="301">
      <c r="A301" t="inlineStr">
        <is>
          <t>26. Accreditamento &amp; Assicurazione Qualità (DM 1154/2021)</t>
        </is>
      </c>
      <c r="B301" t="inlineStr">
        <is>
          <t>Registro Accreditamento (Art. 3-4)</t>
        </is>
      </c>
      <c r="C301" t="inlineStr">
        <is>
          <t>Verifica decadenza automatica Art. 4 (mancata attivazione, sospensione biennale, verifica docenza 30/11, ISEF)</t>
        </is>
      </c>
      <c r="D301" t="inlineStr">
        <is>
          <t>Nuova</t>
        </is>
      </c>
      <c r="E301" t="inlineStr">
        <is>
          <t>PQA / Direzione</t>
        </is>
      </c>
      <c r="F301" t="inlineStr">
        <is>
          <t>T14 · AVA-04</t>
        </is>
      </c>
    </row>
    <row r="302">
      <c r="A302" t="inlineStr">
        <is>
          <t>26. Accreditamento &amp; Assicurazione Qualità (DM 1154/2021)</t>
        </is>
      </c>
      <c r="B302" t="inlineStr">
        <is>
          <t>Indicatori Allegato E</t>
        </is>
      </c>
      <c r="C302" t="inlineStr">
        <is>
          <t>Catalogo indicatori ministeriali per ambito A-E</t>
        </is>
      </c>
      <c r="D302" t="inlineStr">
        <is>
          <t>Nuova</t>
        </is>
      </c>
      <c r="E302" t="inlineStr">
        <is>
          <t>NUV / PQA</t>
        </is>
      </c>
      <c r="F302" t="inlineStr">
        <is>
          <t>T14 · AVA-05</t>
        </is>
      </c>
    </row>
    <row r="303">
      <c r="A303" t="inlineStr">
        <is>
          <t>26. Accreditamento &amp; Assicurazione Qualità (DM 1154/2021)</t>
        </is>
      </c>
      <c r="B303" t="inlineStr">
        <is>
          <t>Indicatori Allegato E</t>
        </is>
      </c>
      <c r="C303" t="inlineStr">
        <is>
          <t>Calcolo automatico degli indicatori disponibili (% ore docenza t.i., % CFU I anno) da dati reali di corso/docenza</t>
        </is>
      </c>
      <c r="D303" t="inlineStr">
        <is>
          <t>Nuova</t>
        </is>
      </c>
      <c r="E303" t="inlineStr">
        <is>
          <t>Coordinatore CdS / NUV</t>
        </is>
      </c>
      <c r="F303" t="inlineStr">
        <is>
          <t>T14 · AVA-06</t>
        </is>
      </c>
    </row>
    <row r="304">
      <c r="A304" t="inlineStr">
        <is>
          <t>26. Accreditamento &amp; Assicurazione Qualità (DM 1154/2021)</t>
        </is>
      </c>
      <c r="B304" t="inlineStr">
        <is>
          <t>SUA-CdS, SMA &amp; Riesame Ciclico</t>
        </is>
      </c>
      <c r="C304" t="inlineStr">
        <is>
          <t>Tracciamento completezza SUA-CdS (sezioni Amministrazione/Qualità) e scadenzario</t>
        </is>
      </c>
      <c r="D304" t="inlineStr">
        <is>
          <t>Nuova</t>
        </is>
      </c>
      <c r="E304" t="inlineStr">
        <is>
          <t>Coordinatore CdS / PQA</t>
        </is>
      </c>
      <c r="F304" t="inlineStr">
        <is>
          <t>T14 · AVA-07</t>
        </is>
      </c>
    </row>
    <row r="305">
      <c r="A305" t="inlineStr">
        <is>
          <t>26. Accreditamento &amp; Assicurazione Qualità (DM 1154/2021)</t>
        </is>
      </c>
      <c r="B305" t="inlineStr">
        <is>
          <t>SUA-CdS, SMA &amp; Riesame Ciclico</t>
        </is>
      </c>
      <c r="C305" t="inlineStr">
        <is>
          <t>Gestione SMA e Riesame Ciclico con azioni di miglioramento collegate</t>
        </is>
      </c>
      <c r="D305" t="inlineStr">
        <is>
          <t>Nuova</t>
        </is>
      </c>
      <c r="E305" t="inlineStr">
        <is>
          <t>PQA</t>
        </is>
      </c>
      <c r="F305" t="inlineStr">
        <is>
          <t>T14 · AVA-07</t>
        </is>
      </c>
    </row>
    <row r="306">
      <c r="A306" t="inlineStr">
        <is>
          <t>26. Accreditamento &amp; Assicurazione Qualità (DM 1154/2021)</t>
        </is>
      </c>
      <c r="B306" t="inlineStr">
        <is>
          <t>Persona Auditor &amp; CEV</t>
        </is>
      </c>
      <c r="C306" t="inlineStr">
        <is>
          <t>Accesso esterno Auditor MUR/ANVUR/CEV: concessioni con scope e validità temporale, watermark, audit trail</t>
        </is>
      </c>
      <c r="D306" t="inlineStr">
        <is>
          <t>Nuova</t>
        </is>
      </c>
      <c r="E306" t="inlineStr">
        <is>
          <t>System Admin / Auditor</t>
        </is>
      </c>
      <c r="F306" t="inlineStr">
        <is>
          <t>T14 · AVA-08</t>
        </is>
      </c>
    </row>
    <row r="307">
      <c r="A307" t="inlineStr">
        <is>
          <t>26. Accreditamento &amp; Assicurazione Qualità (DM 1154/2021)</t>
        </is>
      </c>
      <c r="B307" t="inlineStr">
        <is>
          <t>Persona Auditor &amp; CEV</t>
        </is>
      </c>
      <c r="C307" t="inlineStr">
        <is>
          <t>Fascicolo di sede/corso per la CEV: punti di attenzione, evidenze collegate, giudizio a 4 fasce</t>
        </is>
      </c>
      <c r="D307" t="inlineStr">
        <is>
          <t>Nuova</t>
        </is>
      </c>
      <c r="E307" t="inlineStr">
        <is>
          <t>CEV</t>
        </is>
      </c>
      <c r="F307" t="inlineStr">
        <is>
          <t>T14 · AVA-10/12</t>
        </is>
      </c>
    </row>
    <row r="308">
      <c r="A308" t="inlineStr">
        <is>
          <t>26. Accreditamento &amp; Assicurazione Qualità (DM 1154/2021)</t>
        </is>
      </c>
      <c r="B308" t="inlineStr">
        <is>
          <t>Evidenze &amp; Snapshot</t>
        </is>
      </c>
      <c r="C308" t="inlineStr">
        <is>
          <t>Registro evidenze collegate a indicatori e punti di attenzione, con provenienza dati</t>
        </is>
      </c>
      <c r="D308" t="inlineStr">
        <is>
          <t>Nuova</t>
        </is>
      </c>
      <c r="E308" t="inlineStr">
        <is>
          <t>PQA / Auditor</t>
        </is>
      </c>
      <c r="F308" t="inlineStr">
        <is>
          <t>T14 · AVA-09</t>
        </is>
      </c>
    </row>
    <row r="309">
      <c r="A309" t="inlineStr">
        <is>
          <t>26. Accreditamento &amp; Assicurazione Qualità (DM 1154/2021)</t>
        </is>
      </c>
      <c r="B309" t="inlineStr">
        <is>
          <t>Evidenze &amp; Snapshot</t>
        </is>
      </c>
      <c r="C309" t="inlineStr">
        <is>
          <t>Snapshot cruscotto immutabili e datati, con firma opzionale</t>
        </is>
      </c>
      <c r="D309" t="inlineStr">
        <is>
          <t>Nuova</t>
        </is>
      </c>
      <c r="E309" t="inlineStr">
        <is>
          <t>Auditor</t>
        </is>
      </c>
      <c r="F309" t="inlineStr">
        <is>
          <t>T14 · AVA-09</t>
        </is>
      </c>
    </row>
    <row r="310">
      <c r="A310" t="inlineStr">
        <is>
          <t>26. Accreditamento &amp; Assicurazione Qualità (DM 1154/2021)</t>
        </is>
      </c>
      <c r="B310" t="inlineStr">
        <is>
          <t>Alert &amp; Cruscotti</t>
        </is>
      </c>
      <c r="C310" t="inlineStr">
        <is>
          <t>Motore di alert/early-warning (10 codici del catalogo §7, severità, destinatari per ruolo)</t>
        </is>
      </c>
      <c r="D310" t="inlineStr">
        <is>
          <t>Nuova</t>
        </is>
      </c>
      <c r="E310" t="inlineStr">
        <is>
          <t>PQA / Direzione</t>
        </is>
      </c>
      <c r="F310" t="inlineStr">
        <is>
          <t>T14 · AVA-11</t>
        </is>
      </c>
    </row>
    <row r="311">
      <c r="A311" t="inlineStr">
        <is>
          <t>26. Accreditamento &amp; Assicurazione Qualità (DM 1154/2021)</t>
        </is>
      </c>
      <c r="B311" t="inlineStr">
        <is>
          <t>Alert &amp; Cruscotti</t>
        </is>
      </c>
      <c r="C311" t="inlineStr">
        <is>
          <t>Cruscotti dedicati Auditor, PQA/NUV, Coordinatore CdS</t>
        </is>
      </c>
      <c r="D311" t="inlineStr">
        <is>
          <t>Nuova</t>
        </is>
      </c>
      <c r="E311" t="inlineStr">
        <is>
          <t>Auditor / PQA / Coordinatore CdS</t>
        </is>
      </c>
      <c r="F311" t="inlineStr">
        <is>
          <t>T14 · AVA-10</t>
        </is>
      </c>
    </row>
  </sheetData>
  <autoFilter ref="A1:F29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9" min="1" max="1"/>
    <col width="11" customWidth="1" style="9" min="2" max="5"/>
  </cols>
  <sheetData>
    <row r="1" ht="15" customHeight="1" s="10">
      <c r="A1" s="16" t="inlineStr">
        <is>
          <t>Area Funzionale</t>
        </is>
      </c>
      <c r="B1" s="16" t="inlineStr">
        <is>
          <t>Totale</t>
        </is>
      </c>
      <c r="C1" s="16" t="inlineStr">
        <is>
          <t>Esistenti</t>
        </is>
      </c>
      <c r="D1" s="16" t="inlineStr">
        <is>
          <t>Estensioni</t>
        </is>
      </c>
      <c r="E1" s="16" t="inlineStr">
        <is>
          <t>Nuove</t>
        </is>
      </c>
    </row>
    <row r="2" ht="15" customHeight="1" s="10">
      <c r="A2" s="17" t="inlineStr">
        <is>
          <t>1. Piattaforma &amp; Multi-tenancy</t>
        </is>
      </c>
      <c r="B2" s="17">
        <f>COUNTIF('Albero Funzionalità Target'!$A$2:$A$1000,A2)</f>
        <v/>
      </c>
      <c r="C2" s="17">
        <f>COUNTIFS('Albero Funzionalità Target'!$A$2:$A$1000,A2,'Albero Funzionalità Target'!$D$2:$D$1000,"Esistente")</f>
        <v/>
      </c>
      <c r="D2" s="17">
        <f>COUNTIFS('Albero Funzionalità Target'!$A$2:$A$1000,A2,'Albero Funzionalità Target'!$D$2:$D$1000,"Estensione")</f>
        <v/>
      </c>
      <c r="E2" s="17">
        <f>COUNTIFS('Albero Funzionalità Target'!$A$2:$A$1000,A2,'Albero Funzionalità Target'!$D$2:$D$1000,"Nuova")</f>
        <v/>
      </c>
    </row>
    <row r="3" ht="15" customHeight="1" s="10">
      <c r="A3" s="17" t="inlineStr">
        <is>
          <t>2. Identità, Autenticazione &amp; Accessi</t>
        </is>
      </c>
      <c r="B3" s="17">
        <f>COUNTIF('Albero Funzionalità Target'!$A$2:$A$1000,A3)</f>
        <v/>
      </c>
      <c r="C3" s="17">
        <f>COUNTIFS('Albero Funzionalità Target'!$A$2:$A$1000,A3,'Albero Funzionalità Target'!$D$2:$D$1000,"Esistente")</f>
        <v/>
      </c>
      <c r="D3" s="17">
        <f>COUNTIFS('Albero Funzionalità Target'!$A$2:$A$1000,A3,'Albero Funzionalità Target'!$D$2:$D$1000,"Estensione")</f>
        <v/>
      </c>
      <c r="E3" s="17">
        <f>COUNTIFS('Albero Funzionalità Target'!$A$2:$A$1000,A3,'Albero Funzionalità Target'!$D$2:$D$1000,"Nuova")</f>
        <v/>
      </c>
    </row>
    <row r="4" ht="15" customHeight="1" s="10">
      <c r="A4" s="17" t="inlineStr">
        <is>
          <t>3. Authoring &amp; Gestione Corsi</t>
        </is>
      </c>
      <c r="B4" s="17">
        <f>COUNTIF('Albero Funzionalità Target'!$A$2:$A$1000,A4)</f>
        <v/>
      </c>
      <c r="C4" s="17">
        <f>COUNTIFS('Albero Funzionalità Target'!$A$2:$A$1000,A4,'Albero Funzionalità Target'!$D$2:$D$1000,"Esistente")</f>
        <v/>
      </c>
      <c r="D4" s="17">
        <f>COUNTIFS('Albero Funzionalità Target'!$A$2:$A$1000,A4,'Albero Funzionalità Target'!$D$2:$D$1000,"Estensione")</f>
        <v/>
      </c>
      <c r="E4" s="17">
        <f>COUNTIFS('Albero Funzionalità Target'!$A$2:$A$1000,A4,'Albero Funzionalità Target'!$D$2:$D$1000,"Nuova")</f>
        <v/>
      </c>
    </row>
    <row r="5" ht="15" customHeight="1" s="10">
      <c r="A5" s="17" t="inlineStr">
        <is>
          <t>4. Generazione AI di Contenuti &amp; Media</t>
        </is>
      </c>
      <c r="B5" s="17">
        <f>COUNTIF('Albero Funzionalità Target'!$A$2:$A$1000,A5)</f>
        <v/>
      </c>
      <c r="C5" s="17">
        <f>COUNTIFS('Albero Funzionalità Target'!$A$2:$A$1000,A5,'Albero Funzionalità Target'!$D$2:$D$1000,"Esistente")</f>
        <v/>
      </c>
      <c r="D5" s="17">
        <f>COUNTIFS('Albero Funzionalità Target'!$A$2:$A$1000,A5,'Albero Funzionalità Target'!$D$2:$D$1000,"Estensione")</f>
        <v/>
      </c>
      <c r="E5" s="17">
        <f>COUNTIFS('Albero Funzionalità Target'!$A$2:$A$1000,A5,'Albero Funzionalità Target'!$D$2:$D$1000,"Nuova")</f>
        <v/>
      </c>
    </row>
    <row r="6" ht="15" customHeight="1" s="10">
      <c r="A6" s="17" t="inlineStr">
        <is>
          <t>5. AI Governance &amp; LLM Management</t>
        </is>
      </c>
      <c r="B6" s="17">
        <f>COUNTIF('Albero Funzionalità Target'!$A$2:$A$1000,A6)</f>
        <v/>
      </c>
      <c r="C6" s="17">
        <f>COUNTIFS('Albero Funzionalità Target'!$A$2:$A$1000,A6,'Albero Funzionalità Target'!$D$2:$D$1000,"Esistente")</f>
        <v/>
      </c>
      <c r="D6" s="17">
        <f>COUNTIFS('Albero Funzionalità Target'!$A$2:$A$1000,A6,'Albero Funzionalità Target'!$D$2:$D$1000,"Estensione")</f>
        <v/>
      </c>
      <c r="E6" s="17">
        <f>COUNTIFS('Albero Funzionalità Target'!$A$2:$A$1000,A6,'Albero Funzionalità Target'!$D$2:$D$1000,"Nuova")</f>
        <v/>
      </c>
    </row>
    <row r="7" ht="15" customHeight="1" s="10">
      <c r="A7" s="17" t="inlineStr">
        <is>
          <t>6. Knowledge Graph &amp; Ontologia</t>
        </is>
      </c>
      <c r="B7" s="17">
        <f>COUNTIF('Albero Funzionalità Target'!$A$2:$A$1000,A7)</f>
        <v/>
      </c>
      <c r="C7" s="17">
        <f>COUNTIFS('Albero Funzionalità Target'!$A$2:$A$1000,A7,'Albero Funzionalità Target'!$D$2:$D$1000,"Esistente")</f>
        <v/>
      </c>
      <c r="D7" s="17">
        <f>COUNTIFS('Albero Funzionalità Target'!$A$2:$A$1000,A7,'Albero Funzionalità Target'!$D$2:$D$1000,"Estensione")</f>
        <v/>
      </c>
      <c r="E7" s="17">
        <f>COUNTIFS('Albero Funzionalità Target'!$A$2:$A$1000,A7,'Albero Funzionalità Target'!$D$2:$D$1000,"Nuova")</f>
        <v/>
      </c>
    </row>
    <row r="8" ht="15" customHeight="1" s="10">
      <c r="A8" s="17" t="inlineStr">
        <is>
          <t>7. Learning Outcomes &amp; Curriculum</t>
        </is>
      </c>
      <c r="B8" s="17">
        <f>COUNTIF('Albero Funzionalità Target'!$A$2:$A$1000,A8)</f>
        <v/>
      </c>
      <c r="C8" s="17">
        <f>COUNTIFS('Albero Funzionalità Target'!$A$2:$A$1000,A8,'Albero Funzionalità Target'!$D$2:$D$1000,"Esistente")</f>
        <v/>
      </c>
      <c r="D8" s="17">
        <f>COUNTIFS('Albero Funzionalità Target'!$A$2:$A$1000,A8,'Albero Funzionalità Target'!$D$2:$D$1000,"Estensione")</f>
        <v/>
      </c>
      <c r="E8" s="17">
        <f>COUNTIFS('Albero Funzionalità Target'!$A$2:$A$1000,A8,'Albero Funzionalità Target'!$D$2:$D$1000,"Nuova")</f>
        <v/>
      </c>
    </row>
    <row r="9" ht="15" customHeight="1" s="10">
      <c r="A9" s="17" t="inlineStr">
        <is>
          <t>8. Assessment &amp; Valutazione</t>
        </is>
      </c>
      <c r="B9" s="17">
        <f>COUNTIF('Albero Funzionalità Target'!$A$2:$A$1000,A9)</f>
        <v/>
      </c>
      <c r="C9" s="17">
        <f>COUNTIFS('Albero Funzionalità Target'!$A$2:$A$1000,A9,'Albero Funzionalità Target'!$D$2:$D$1000,"Esistente")</f>
        <v/>
      </c>
      <c r="D9" s="17">
        <f>COUNTIFS('Albero Funzionalità Target'!$A$2:$A$1000,A9,'Albero Funzionalità Target'!$D$2:$D$1000,"Estensione")</f>
        <v/>
      </c>
      <c r="E9" s="17">
        <f>COUNTIFS('Albero Funzionalità Target'!$A$2:$A$1000,A9,'Albero Funzionalità Target'!$D$2:$D$1000,"Nuova")</f>
        <v/>
      </c>
    </row>
    <row r="10" ht="15" customHeight="1" s="10">
      <c r="A10" s="17" t="inlineStr">
        <is>
          <t>9. Personalizzazione &amp; Apprendimento Adattivo</t>
        </is>
      </c>
      <c r="B10" s="17">
        <f>COUNTIF('Albero Funzionalità Target'!$A$2:$A$1000,A10)</f>
        <v/>
      </c>
      <c r="C10" s="17">
        <f>COUNTIFS('Albero Funzionalità Target'!$A$2:$A$1000,A10,'Albero Funzionalità Target'!$D$2:$D$1000,"Esistente")</f>
        <v/>
      </c>
      <c r="D10" s="17">
        <f>COUNTIFS('Albero Funzionalità Target'!$A$2:$A$1000,A10,'Albero Funzionalità Target'!$D$2:$D$1000,"Estensione")</f>
        <v/>
      </c>
      <c r="E10" s="17">
        <f>COUNTIFS('Albero Funzionalità Target'!$A$2:$A$1000,A10,'Albero Funzionalità Target'!$D$2:$D$1000,"Nuova")</f>
        <v/>
      </c>
    </row>
    <row r="11" ht="15" customHeight="1" s="10">
      <c r="A11" s="17" t="inlineStr">
        <is>
          <t>10. Esperienza Studente &amp; Lifecycle</t>
        </is>
      </c>
      <c r="B11" s="17">
        <f>COUNTIF('Albero Funzionalità Target'!$A$2:$A$1000,A11)</f>
        <v/>
      </c>
      <c r="C11" s="17">
        <f>COUNTIFS('Albero Funzionalità Target'!$A$2:$A$1000,A11,'Albero Funzionalità Target'!$D$2:$D$1000,"Esistente")</f>
        <v/>
      </c>
      <c r="D11" s="17">
        <f>COUNTIFS('Albero Funzionalità Target'!$A$2:$A$1000,A11,'Albero Funzionalità Target'!$D$2:$D$1000,"Estensione")</f>
        <v/>
      </c>
      <c r="E11" s="17">
        <f>COUNTIFS('Albero Funzionalità Target'!$A$2:$A$1000,A11,'Albero Funzionalità Target'!$D$2:$D$1000,"Nuova")</f>
        <v/>
      </c>
    </row>
    <row r="12" ht="15" customHeight="1" s="10">
      <c r="A12" s="17" t="inlineStr">
        <is>
          <t>11. Faculty &amp; Staff</t>
        </is>
      </c>
      <c r="B12" s="17">
        <f>COUNTIF('Albero Funzionalità Target'!$A$2:$A$1000,A12)</f>
        <v/>
      </c>
      <c r="C12" s="17">
        <f>COUNTIFS('Albero Funzionalità Target'!$A$2:$A$1000,A12,'Albero Funzionalità Target'!$D$2:$D$1000,"Esistente")</f>
        <v/>
      </c>
      <c r="D12" s="17">
        <f>COUNTIFS('Albero Funzionalità Target'!$A$2:$A$1000,A12,'Albero Funzionalità Target'!$D$2:$D$1000,"Estensione")</f>
        <v/>
      </c>
      <c r="E12" s="17">
        <f>COUNTIFS('Albero Funzionalità Target'!$A$2:$A$1000,A12,'Albero Funzionalità Target'!$D$2:$D$1000,"Nuova")</f>
        <v/>
      </c>
    </row>
    <row r="13" ht="15" customHeight="1" s="10">
      <c r="A13" s="17" t="inlineStr">
        <is>
          <t>12. Credenziali, Badge &amp; Riconoscimenti</t>
        </is>
      </c>
      <c r="B13" s="17">
        <f>COUNTIF('Albero Funzionalità Target'!$A$2:$A$1000,A13)</f>
        <v/>
      </c>
      <c r="C13" s="17">
        <f>COUNTIFS('Albero Funzionalità Target'!$A$2:$A$1000,A13,'Albero Funzionalità Target'!$D$2:$D$1000,"Esistente")</f>
        <v/>
      </c>
      <c r="D13" s="17">
        <f>COUNTIFS('Albero Funzionalità Target'!$A$2:$A$1000,A13,'Albero Funzionalità Target'!$D$2:$D$1000,"Estensione")</f>
        <v/>
      </c>
      <c r="E13" s="17">
        <f>COUNTIFS('Albero Funzionalità Target'!$A$2:$A$1000,A13,'Albero Funzionalità Target'!$D$2:$D$1000,"Nuova")</f>
        <v/>
      </c>
    </row>
    <row r="14" ht="15" customHeight="1" s="10">
      <c r="A14" s="17" t="inlineStr">
        <is>
          <t>13. Analytics &amp; Reporting</t>
        </is>
      </c>
      <c r="B14" s="17">
        <f>COUNTIF('Albero Funzionalità Target'!$A$2:$A$1000,A14)</f>
        <v/>
      </c>
      <c r="C14" s="17">
        <f>COUNTIFS('Albero Funzionalità Target'!$A$2:$A$1000,A14,'Albero Funzionalità Target'!$D$2:$D$1000,"Esistente")</f>
        <v/>
      </c>
      <c r="D14" s="17">
        <f>COUNTIFS('Albero Funzionalità Target'!$A$2:$A$1000,A14,'Albero Funzionalità Target'!$D$2:$D$1000,"Estensione")</f>
        <v/>
      </c>
      <c r="E14" s="17">
        <f>COUNTIFS('Albero Funzionalità Target'!$A$2:$A$1000,A14,'Albero Funzionalità Target'!$D$2:$D$1000,"Nuova")</f>
        <v/>
      </c>
    </row>
    <row r="15" ht="15" customHeight="1" s="10">
      <c r="A15" s="17" t="inlineStr">
        <is>
          <t>14. Compliance, Audit &amp; Sicurezza</t>
        </is>
      </c>
      <c r="B15" s="17">
        <f>COUNTIF('Albero Funzionalità Target'!$A$2:$A$1000,A15)</f>
        <v/>
      </c>
      <c r="C15" s="17">
        <f>COUNTIFS('Albero Funzionalità Target'!$A$2:$A$1000,A15,'Albero Funzionalità Target'!$D$2:$D$1000,"Esistente")</f>
        <v/>
      </c>
      <c r="D15" s="17">
        <f>COUNTIFS('Albero Funzionalità Target'!$A$2:$A$1000,A15,'Albero Funzionalità Target'!$D$2:$D$1000,"Estensione")</f>
        <v/>
      </c>
      <c r="E15" s="17">
        <f>COUNTIFS('Albero Funzionalità Target'!$A$2:$A$1000,A15,'Albero Funzionalità Target'!$D$2:$D$1000,"Nuova")</f>
        <v/>
      </c>
    </row>
    <row r="16" ht="15" customHeight="1" s="10">
      <c r="A16" s="17" t="inlineStr">
        <is>
          <t>15. Integrazioni &amp; Interoperabilità</t>
        </is>
      </c>
      <c r="B16" s="17">
        <f>COUNTIF('Albero Funzionalità Target'!$A$2:$A$1000,A16)</f>
        <v/>
      </c>
      <c r="C16" s="17">
        <f>COUNTIFS('Albero Funzionalità Target'!$A$2:$A$1000,A16,'Albero Funzionalità Target'!$D$2:$D$1000,"Esistente")</f>
        <v/>
      </c>
      <c r="D16" s="17">
        <f>COUNTIFS('Albero Funzionalità Target'!$A$2:$A$1000,A16,'Albero Funzionalità Target'!$D$2:$D$1000,"Estensione")</f>
        <v/>
      </c>
      <c r="E16" s="17">
        <f>COUNTIFS('Albero Funzionalità Target'!$A$2:$A$1000,A16,'Albero Funzionalità Target'!$D$2:$D$1000,"Nuova")</f>
        <v/>
      </c>
    </row>
    <row r="17" ht="15" customHeight="1" s="10">
      <c r="A17" s="17" t="inlineStr">
        <is>
          <t>16. Collaborazione Real-time</t>
        </is>
      </c>
      <c r="B17" s="17">
        <f>COUNTIF('Albero Funzionalità Target'!$A$2:$A$1000,A17)</f>
        <v/>
      </c>
      <c r="C17" s="17">
        <f>COUNTIFS('Albero Funzionalità Target'!$A$2:$A$1000,A17,'Albero Funzionalità Target'!$D$2:$D$1000,"Esistente")</f>
        <v/>
      </c>
      <c r="D17" s="17">
        <f>COUNTIFS('Albero Funzionalità Target'!$A$2:$A$1000,A17,'Albero Funzionalità Target'!$D$2:$D$1000,"Estensione")</f>
        <v/>
      </c>
      <c r="E17" s="17">
        <f>COUNTIFS('Albero Funzionalità Target'!$A$2:$A$1000,A17,'Albero Funzionalità Target'!$D$2:$D$1000,"Nuova")</f>
        <v/>
      </c>
    </row>
    <row r="18" ht="15" customHeight="1" s="10">
      <c r="A18" s="17" t="inlineStr">
        <is>
          <t>17. Ricerca &amp; Discovery</t>
        </is>
      </c>
      <c r="B18" s="17">
        <f>COUNTIF('Albero Funzionalità Target'!$A$2:$A$1000,A18)</f>
        <v/>
      </c>
      <c r="C18" s="17">
        <f>COUNTIFS('Albero Funzionalità Target'!$A$2:$A$1000,A18,'Albero Funzionalità Target'!$D$2:$D$1000,"Esistente")</f>
        <v/>
      </c>
      <c r="D18" s="17">
        <f>COUNTIFS('Albero Funzionalità Target'!$A$2:$A$1000,A18,'Albero Funzionalità Target'!$D$2:$D$1000,"Estensione")</f>
        <v/>
      </c>
      <c r="E18" s="17">
        <f>COUNTIFS('Albero Funzionalità Target'!$A$2:$A$1000,A18,'Albero Funzionalità Target'!$D$2:$D$1000,"Nuova")</f>
        <v/>
      </c>
    </row>
    <row r="19" ht="15" customHeight="1" s="10">
      <c r="A19" s="17" t="inlineStr">
        <is>
          <t>18. Operations &amp; Infrastruttura</t>
        </is>
      </c>
      <c r="B19" s="17">
        <f>COUNTIF('Albero Funzionalità Target'!$A$2:$A$1000,A19)</f>
        <v/>
      </c>
      <c r="C19" s="17">
        <f>COUNTIFS('Albero Funzionalità Target'!$A$2:$A$1000,A19,'Albero Funzionalità Target'!$D$2:$D$1000,"Esistente")</f>
        <v/>
      </c>
      <c r="D19" s="17">
        <f>COUNTIFS('Albero Funzionalità Target'!$A$2:$A$1000,A19,'Albero Funzionalità Target'!$D$2:$D$1000,"Estensione")</f>
        <v/>
      </c>
      <c r="E19" s="17">
        <f>COUNTIFS('Albero Funzionalità Target'!$A$2:$A$1000,A19,'Albero Funzionalità Target'!$D$2:$D$1000,"Nuova")</f>
        <v/>
      </c>
    </row>
    <row r="20" ht="15" customHeight="1" s="10">
      <c r="A20" s="17" t="inlineStr">
        <is>
          <t>19. Ammissioni &amp; Pre-Valutazione Titoli</t>
        </is>
      </c>
      <c r="B20" s="17">
        <f>COUNTIF('Albero Funzionalità Target'!$A$2:$A$1000,A20)</f>
        <v/>
      </c>
      <c r="C20" s="17">
        <f>COUNTIFS('Albero Funzionalità Target'!$A$2:$A$1000,A20,'Albero Funzionalità Target'!$D$2:$D$1000,"Esistente")</f>
        <v/>
      </c>
      <c r="D20" s="17">
        <f>COUNTIFS('Albero Funzionalità Target'!$A$2:$A$1000,A20,'Albero Funzionalità Target'!$D$2:$D$1000,"Estensione")</f>
        <v/>
      </c>
      <c r="E20" s="17">
        <f>COUNTIFS('Albero Funzionalità Target'!$A$2:$A$1000,A20,'Albero Funzionalità Target'!$D$2:$D$1000,"Nuova")</f>
        <v/>
      </c>
    </row>
    <row r="21" ht="15" customHeight="1" s="10">
      <c r="A21" s="17" t="inlineStr">
        <is>
          <t>20. Faculty Lifecycle &amp; Contrattualizzazione</t>
        </is>
      </c>
      <c r="B21" s="17">
        <f>COUNTIF('Albero Funzionalità Target'!$A$2:$A$1000,A21)</f>
        <v/>
      </c>
      <c r="C21" s="17">
        <f>COUNTIFS('Albero Funzionalità Target'!$A$2:$A$1000,A21,'Albero Funzionalità Target'!$D$2:$D$1000,"Esistente")</f>
        <v/>
      </c>
      <c r="D21" s="17">
        <f>COUNTIFS('Albero Funzionalità Target'!$A$2:$A$1000,A21,'Albero Funzionalità Target'!$D$2:$D$1000,"Estensione")</f>
        <v/>
      </c>
      <c r="E21" s="17">
        <f>COUNTIFS('Albero Funzionalità Target'!$A$2:$A$1000,A21,'Albero Funzionalità Target'!$D$2:$D$1000,"Nuova")</f>
        <v/>
      </c>
    </row>
    <row r="22" ht="15" customHeight="1" s="10">
      <c r="A22" s="17" t="inlineStr">
        <is>
          <t>21. Governance Accademica &amp; Policy</t>
        </is>
      </c>
      <c r="B22" s="17">
        <f>COUNTIF('Albero Funzionalità Target'!$A$2:$A$1000,A22)</f>
        <v/>
      </c>
      <c r="C22" s="17">
        <f>COUNTIFS('Albero Funzionalità Target'!$A$2:$A$1000,A22,'Albero Funzionalità Target'!$D$2:$D$1000,"Esistente")</f>
        <v/>
      </c>
      <c r="D22" s="17">
        <f>COUNTIFS('Albero Funzionalità Target'!$A$2:$A$1000,A22,'Albero Funzionalità Target'!$D$2:$D$1000,"Estensione")</f>
        <v/>
      </c>
      <c r="E22" s="17">
        <f>COUNTIFS('Albero Funzionalità Target'!$A$2:$A$1000,A22,'Albero Funzionalità Target'!$D$2:$D$1000,"Nuova")</f>
        <v/>
      </c>
    </row>
    <row r="23" ht="15" customHeight="1" s="10">
      <c r="A23" s="17" t="inlineStr">
        <is>
          <t>22. Finanza &amp; Amministrazione Nativa</t>
        </is>
      </c>
      <c r="B23" s="17">
        <f>COUNTIF('Albero Funzionalità Target'!$A$2:$A$1000,A23)</f>
        <v/>
      </c>
      <c r="C23" s="17">
        <f>COUNTIFS('Albero Funzionalità Target'!$A$2:$A$1000,A23,'Albero Funzionalità Target'!$D$2:$D$1000,"Esistente")</f>
        <v/>
      </c>
      <c r="D23" s="17">
        <f>COUNTIFS('Albero Funzionalità Target'!$A$2:$A$1000,A23,'Albero Funzionalità Target'!$D$2:$D$1000,"Estensione")</f>
        <v/>
      </c>
      <c r="E23" s="17">
        <f>COUNTIFS('Albero Funzionalità Target'!$A$2:$A$1000,A23,'Albero Funzionalità Target'!$D$2:$D$1000,"Nuova")</f>
        <v/>
      </c>
    </row>
    <row r="24" ht="15" customHeight="1" s="10">
      <c r="A24" s="17" t="inlineStr">
        <is>
          <t>23. HR &amp; Organico</t>
        </is>
      </c>
      <c r="B24" s="17">
        <f>COUNTIF('Albero Funzionalità Target'!$A$2:$A$1000,A24)</f>
        <v/>
      </c>
      <c r="C24" s="17">
        <f>COUNTIFS('Albero Funzionalità Target'!$A$2:$A$1000,A24,'Albero Funzionalità Target'!$D$2:$D$1000,"Esistente")</f>
        <v/>
      </c>
      <c r="D24" s="17">
        <f>COUNTIFS('Albero Funzionalità Target'!$A$2:$A$1000,A24,'Albero Funzionalità Target'!$D$2:$D$1000,"Estensione")</f>
        <v/>
      </c>
      <c r="E24" s="17">
        <f>COUNTIFS('Albero Funzionalità Target'!$A$2:$A$1000,A24,'Albero Funzionalità Target'!$D$2:$D$1000,"Nuova")</f>
        <v/>
      </c>
    </row>
    <row r="25" ht="15" customHeight="1" s="10">
      <c r="A25" s="17" t="inlineStr">
        <is>
          <t>24. Executive Command &amp; Corporate Governance</t>
        </is>
      </c>
      <c r="B25" s="17">
        <f>COUNTIF('Albero Funzionalità Target'!$A$2:$A$1000,A25)</f>
        <v/>
      </c>
      <c r="C25" s="17">
        <f>COUNTIFS('Albero Funzionalità Target'!$A$2:$A$1000,A25,'Albero Funzionalità Target'!$D$2:$D$1000,"Esistente")</f>
        <v/>
      </c>
      <c r="D25" s="17">
        <f>COUNTIFS('Albero Funzionalità Target'!$A$2:$A$1000,A25,'Albero Funzionalità Target'!$D$2:$D$1000,"Estensione")</f>
        <v/>
      </c>
      <c r="E25" s="17">
        <f>COUNTIFS('Albero Funzionalità Target'!$A$2:$A$1000,A25,'Albero Funzionalità Target'!$D$2:$D$1000,"Nuova")</f>
        <v/>
      </c>
    </row>
    <row r="26" ht="15" customHeight="1" s="10">
      <c r="A26" s="9" t="inlineStr">
        <is>
          <t>25. Ricerca &amp; Open Science</t>
        </is>
      </c>
      <c r="B26" s="9">
        <f>COUNTIF('Albero Funzionalità Target'!$A$2:$A$1000,A26)</f>
        <v/>
      </c>
      <c r="C26" s="9">
        <f>COUNTIFS('Albero Funzionalità Target'!$A$2:$A$1000,A26,'Albero Funzionalità Target'!$D$2:$D$1000,"Esistente")</f>
        <v/>
      </c>
      <c r="D26" s="9">
        <f>COUNTIFS('Albero Funzionalità Target'!$A$2:$A$1000,A26,'Albero Funzionalità Target'!$D$2:$D$1000,"Estensione")</f>
        <v/>
      </c>
      <c r="E26" s="9">
        <f>COUNTIFS('Albero Funzionalità Target'!$A$2:$A$1000,A26,'Albero Funzionalità Target'!$D$2:$D$1000,"Nuova")</f>
        <v/>
      </c>
    </row>
    <row r="27">
      <c r="A27" t="inlineStr">
        <is>
          <t>26. Accreditamento &amp; Assicurazione Qualità (DM 1154/2021)</t>
        </is>
      </c>
      <c r="B27">
        <f>COUNTIF('Albero Funzionalità Target'!$A$2:$A$1000,A27)</f>
        <v/>
      </c>
      <c r="C27">
        <f>COUNTIFS('Albero Funzionalità Target'!$A$2:$A$1000,A27,'Albero Funzionalità Target'!$D$2:$D$1000,"Esistente")</f>
        <v/>
      </c>
      <c r="D27">
        <f>COUNTIFS('Albero Funzionalità Target'!$A$2:$A$1000,A27,'Albero Funzionalità Target'!$D$2:$D$1000,"Estensione")</f>
        <v/>
      </c>
      <c r="E27">
        <f>COUNTIFS('Albero Funzionalità Target'!$A$2:$A$1000,A27,'Albero Funzionalità Target'!$D$2:$D$1000,"Nuova")</f>
        <v/>
      </c>
    </row>
    <row r="28">
      <c r="A28" s="18" t="inlineStr">
        <is>
          <t>TOTALE</t>
        </is>
      </c>
      <c r="B28" s="18">
        <f>SUM(B2:B27)</f>
        <v/>
      </c>
      <c r="C28" s="18">
        <f>SUM(C2:C27)</f>
        <v/>
      </c>
      <c r="D28" s="18">
        <f>SUM(D2:D27)</f>
        <v/>
      </c>
      <c r="E28" s="18">
        <f>SUM(E2:E27)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9" min="1" max="1"/>
    <col width="95" customWidth="1" style="9" min="2" max="2"/>
  </cols>
  <sheetData>
    <row r="1" ht="15" customHeight="1" s="10">
      <c r="A1" s="16" t="inlineStr">
        <is>
          <t>Campo</t>
        </is>
      </c>
      <c r="B1" s="16" t="inlineStr">
        <is>
          <t>Descrizione</t>
        </is>
      </c>
    </row>
    <row r="2" ht="15" customHeight="1" s="10">
      <c r="A2" s="17" t="inlineStr">
        <is>
          <t>Stato = Esistente</t>
        </is>
      </c>
      <c r="B2" s="17" t="inlineStr">
        <is>
          <t>Funzionalità già presente nell MVP dlu_builder_tk (da ALBERO_FUNZIONALITA.xlsx, 27/07/2026)</t>
        </is>
      </c>
    </row>
    <row r="3" ht="15" customHeight="1" s="10">
      <c r="A3" s="17" t="inlineStr">
        <is>
          <t>Stato = Estensione</t>
        </is>
      </c>
      <c r="B3" s="17" t="inlineStr">
        <is>
          <t>Funzionalità esistente da estendere per il target (celle gialle)</t>
        </is>
      </c>
    </row>
    <row r="4" ht="15" customHeight="1" s="10">
      <c r="A4" s="17" t="inlineStr">
        <is>
          <t>Stato = Nuova</t>
        </is>
      </c>
      <c r="B4" s="17" t="inlineStr">
        <is>
          <t>Funzionalità mancante, da realizzare per il target (celle azzurre)</t>
        </is>
      </c>
    </row>
    <row r="5" ht="15" customHeight="1" s="10">
      <c r="A5" s="17" t="inlineStr">
        <is>
          <t>Persona principale</t>
        </is>
      </c>
      <c r="B5" s="17" t="inlineStr">
        <is>
          <t>Per le righe esistenti è un default per area; per le nuove è puntuale</t>
        </is>
      </c>
    </row>
    <row r="6" ht="15" customHeight="1" s="10">
      <c r="A6" s="17" t="inlineStr">
        <is>
          <t>Riferimento</t>
        </is>
      </c>
      <c r="B6" s="17" t="inlineStr">
        <is>
          <t>T1–T14 = domini in ER_MAP_TARGET.md · BOOK-xx = volume masterbook (21–26, alcuni in draft)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2026-07-27T08:18:26Z</dcterms:created>
  <dcterms:modified xmlns:dcterms="http://purl.org/dc/terms/" xmlns:xsi="http://www.w3.org/2001/XMLSchema-instance" xsi:type="dcterms:W3CDTF">2026-08-04T22:45:38Z</dcterms:modified>
  <cp:revision>0</cp:revision>
</cp:coreProperties>
</file>